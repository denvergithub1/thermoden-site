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IP_Pipeline" sheetId="3" state="visible" r:id="rId5"/>
    <sheet name="Roadmap_Budget" sheetId="4" state="visible" r:id="rId6"/>
    <sheet name="Scenarios" sheetId="5" state="visible" r:id="rId7"/>
    <sheet name="Market_Context" sheetId="6" state="visible" r:id="rId8"/>
    <sheet name="Corrections_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<sst xmlns="http://schemas.openxmlformats.org/spreadsheetml/2006/main" count="346" uniqueCount="299">
  <si>
    <t xml:space="preserve">ThermoGen: opportunity projections (INTERNAL)</t>
  </si>
  <si>
    <t xml:space="preserve">CONFIDENTIAL. Contains unpublished intellectual-property planning. Do not upload, email outside the company, or paste into the public websites.</t>
  </si>
  <si>
    <t xml:space="preserve">What this is</t>
  </si>
  <si>
    <t xml:space="preserve">Your four opportunity documents rewritten as projections: stage budgets, the cost of protecting each IP candidate, and three scenarios. Every number is either an input you can change (blue) or a formula (black).</t>
  </si>
  <si>
    <t xml:space="preserve">How to use it</t>
  </si>
  <si>
    <t xml:space="preserve">1) Review the blue inputs on 'Assumptions'. 2) Fill the yellow cells (they are things I could not estimate for you). 3) Read the results on 'Roadmap_Budget' and 'Scenarios'. Change an input and everything recalculates.</t>
  </si>
  <si>
    <t xml:space="preserve">Colour code</t>
  </si>
  <si>
    <t xml:space="preserve">Blue text = an input you can change. Black text = a formula. Green text = a link to another sheet. Yellow fill = a cell for you to fill in or a key assumption.</t>
  </si>
  <si>
    <t xml:space="preserve">What is verified</t>
  </si>
  <si>
    <t xml:space="preserve">USPTO provisional filing fees ($65 micro, $130 small, $325 large entity; 37 CFR 1.16, effective 19 January 2025) and the market and burden figures on 'Market_Context' (sources named in each row). Confirm fees again before you file, because fee schedules change.</t>
  </si>
  <si>
    <t xml:space="preserve">What is an estimate</t>
  </si>
  <si>
    <t xml:space="preserve">The four stage budgets are management planning ranges (the same ones shown publicly on the ThermoGen website), the scenario spend positions, and the attorney-cost ranges (one 2026 pricing guide for biotech provisionals, plus your own $5,000 to $15,000 full-application figure). Get real quotes before relying on them.</t>
  </si>
  <si>
    <t xml:space="preserve">What is NOT in here</t>
  </si>
  <si>
    <t xml:space="preserve">No organism names, no process parameters, no experimental protocols. Keep those in your dated lab notebook.</t>
  </si>
  <si>
    <t xml:space="preserve">Not advice</t>
  </si>
  <si>
    <t xml:space="preserve">This workbook is a planning aid. It is not legal, tax or investment advice. Ask a patent attorney and an accountant.</t>
  </si>
  <si>
    <t xml:space="preserve">Date prepared</t>
  </si>
  <si>
    <t xml:space="preserve">14 October 2026</t>
  </si>
  <si>
    <t xml:space="preserve">Assumptions (edit the blue cells)</t>
  </si>
  <si>
    <t xml:space="preserve">Blue = input you can change. Black = formula. Yellow = please fill in. Sources are in the last column of each table.</t>
  </si>
  <si>
    <t xml:space="preserve">Roadmap stage</t>
  </si>
  <si>
    <t xml:space="preserve">Start month</t>
  </si>
  <si>
    <t xml:space="preserve">End month</t>
  </si>
  <si>
    <t xml:space="preserve">Budget low (US$)</t>
  </si>
  <si>
    <t xml:space="preserve">Budget high (US$)</t>
  </si>
  <si>
    <t xml:space="preserve">Basis</t>
  </si>
  <si>
    <t xml:space="preserve">1. Foundation</t>
  </si>
  <si>
    <t xml:space="preserve">Management planning estimate, October 2026 (same ranges as the public Projections page). Refine with advisers and real quotes.</t>
  </si>
  <si>
    <t xml:space="preserve">2. Pilot and proof of concept</t>
  </si>
  <si>
    <t xml:space="preserve">3. Validation and partnerships</t>
  </si>
  <si>
    <t xml:space="preserve">4. Licensing and scale</t>
  </si>
  <si>
    <t xml:space="preserve">Scenario</t>
  </si>
  <si>
    <t xml:space="preserve">Spend position in range (0 = low end, 1 = high end)</t>
  </si>
  <si>
    <t xml:space="preserve">What it means</t>
  </si>
  <si>
    <t xml:space="preserve">Conservative</t>
  </si>
  <si>
    <t xml:space="preserve">Lean path, mostly grant-funded, fewer parallel workstreams.</t>
  </si>
  <si>
    <t xml:space="preserve">Base case</t>
  </si>
  <si>
    <t xml:space="preserve">Middle path with a sponsored-research or collaboration agreement.</t>
  </si>
  <si>
    <t xml:space="preserve">Upside</t>
  </si>
  <si>
    <t xml:space="preserve">Ambitious path: more parallel work, faster validation, a licence or option agreement.</t>
  </si>
  <si>
    <t xml:space="preserve">IP cost inputs</t>
  </si>
  <si>
    <t xml:space="preserve">Value (US$)</t>
  </si>
  <si>
    <t xml:space="preserve">Source / note</t>
  </si>
  <si>
    <t xml:space="preserve">Entity status for USPTO fees (1 = micro, 2 = small, 3 = large)</t>
  </si>
  <si>
    <t xml:space="preserve">Your choice. Micro and small entity status has eligibility rules: confirm with counsel before claiming it.</t>
  </si>
  <si>
    <t xml:space="preserve">USPTO provisional filing fee: micro entity</t>
  </si>
  <si>
    <t xml:space="preserve">37 CFR 1.16(d), fee schedule effective 19 January 2025. Confirm current fees before filing.</t>
  </si>
  <si>
    <t xml:space="preserve">USPTO provisional filing fee: small entity</t>
  </si>
  <si>
    <t xml:space="preserve">Same source.</t>
  </si>
  <si>
    <t xml:space="preserve">USPTO provisional filing fee: large entity</t>
  </si>
  <si>
    <t xml:space="preserve">Same source. (Your guide's ~$350 was close to this large-entity fee, not the small-entity fee.)</t>
  </si>
  <si>
    <t xml:space="preserve">USPTO provisional fee used in this model</t>
  </si>
  <si>
    <t xml:space="preserve">Formula: picks the fee for the entity status above.</t>
  </si>
  <si>
    <t xml:space="preserve">Attorney preparation of a provisional, biotech: low</t>
  </si>
  <si>
    <t xml:space="preserve">One 2026 pricing guide (IP Boutique Law) gives $4,000 to $5,000 for biotech or complex software. Get quotes.</t>
  </si>
  <si>
    <t xml:space="preserve">Attorney preparation of a provisional, biotech: high</t>
  </si>
  <si>
    <t xml:space="preserve">Full application with prosecution: low</t>
  </si>
  <si>
    <t xml:space="preserve">Your Patent Opportunities guide: $5,000 to $15,000.</t>
  </si>
  <si>
    <t xml:space="preserve">Full application with prosecution: high</t>
  </si>
  <si>
    <t xml:space="preserve">Your Patent Opportunities guide. Biotech cases often cost more: get a quote.</t>
  </si>
  <si>
    <t xml:space="preserve">Foreign / PCT filing allowance per candidate</t>
  </si>
  <si>
    <t xml:space="preserve">NOT ESTIMATED: depends on which countries matter. Ask counsel for a quote and enter it here.</t>
  </si>
  <si>
    <t xml:space="preserve">Number of candidates to file</t>
  </si>
  <si>
    <t xml:space="preserve">Your guide lists four candidates. Candidate 4 may be published instead of patented.</t>
  </si>
  <si>
    <t xml:space="preserve">Proof-of-concept lab materials (from your Lab Experiments document)</t>
  </si>
  <si>
    <t xml:space="preserve">Low (US$)</t>
  </si>
  <si>
    <t xml:space="preserve">High (US$)</t>
  </si>
  <si>
    <t xml:space="preserve">Type strain from a culture collection</t>
  </si>
  <si>
    <t xml:space="preserve">Your Lab Experiments document (materials table).</t>
  </si>
  <si>
    <t xml:space="preserve">Raw dried seaweed biomass</t>
  </si>
  <si>
    <t xml:space="preserve">Metal salts (copper, zinc, iron)</t>
  </si>
  <si>
    <t xml:space="preserve">Arsenic compound for the spiking test</t>
  </si>
  <si>
    <t xml:space="preserve">Portable arsenic field test kit</t>
  </si>
  <si>
    <t xml:space="preserve">Hydrogen sulfide colorimetric strips</t>
  </si>
  <si>
    <t xml:space="preserve">pH meter or strips</t>
  </si>
  <si>
    <t xml:space="preserve">Aquarium air pump and tubing</t>
  </si>
  <si>
    <t xml:space="preserve">Sealed jars or containers</t>
  </si>
  <si>
    <t xml:space="preserve">Total listed in your document</t>
  </si>
  <si>
    <t xml:space="preserve">Matches the $535 to $965 in your document.</t>
  </si>
  <si>
    <t xml:space="preserve">MISSING: copper and zinc test kits (Experiment 1 measures them, but only an arsenic kit is listed)</t>
  </si>
  <si>
    <t xml:space="preserve">Not in your document. Get quotes and enter them here.</t>
  </si>
  <si>
    <t xml:space="preserve">MISSING: personal protective equipment and hazardous-waste disposal (arsenic compounds are toxic)</t>
  </si>
  <si>
    <t xml:space="preserve">MISSING: institutional safety or biosafety review, and a suitable lab space (a university or contract lab is safer than a private lab)</t>
  </si>
  <si>
    <t xml:space="preserve">Total lab budget including gaps</t>
  </si>
  <si>
    <t xml:space="preserve">IP pipeline: what each candidate needs, and what protecting it costs</t>
  </si>
  <si>
    <t xml:space="preserve">Rule: do not present or publish detailed methods anywhere (talks, papers, grant applications, the website) until the provisional application for that candidate has been filed.</t>
  </si>
  <si>
    <t xml:space="preserve">ID</t>
  </si>
  <si>
    <t xml:space="preserve">Candidate (internal short name)</t>
  </si>
  <si>
    <t xml:space="preserve">Type</t>
  </si>
  <si>
    <t xml:space="preserve">What must be shown</t>
  </si>
  <si>
    <t xml:space="preserve">Readiness 0 to 5</t>
  </si>
  <si>
    <t xml:space="preserve">Provisional: low (US$)</t>
  </si>
  <si>
    <t xml:space="preserve">Provisional: high (US$)</t>
  </si>
  <si>
    <t xml:space="preserve">Full application: low (US$)</t>
  </si>
  <si>
    <t xml:space="preserve">Full application: high (US$)</t>
  </si>
  <si>
    <t xml:space="preserve">Target provisional filing date</t>
  </si>
  <si>
    <t xml:space="preserve">Notes from your guide</t>
  </si>
  <si>
    <t xml:space="preserve">C1</t>
  </si>
  <si>
    <t xml:space="preserve">Reducing toxicity of decomposing seaweed with hot-spring microbial consortia</t>
  </si>
  <si>
    <t xml:space="preserve">Method of use</t>
  </si>
  <si>
    <t xml:space="preserve">Dated lab results showing reduced toxic gas and metal levels against an untreated control</t>
  </si>
  <si>
    <t xml:space="preserve">Requires documented lab results to support the claim.</t>
  </si>
  <si>
    <t xml:space="preserve">C2</t>
  </si>
  <si>
    <t xml:space="preserve">Recovering metals from seaweed biomass with a microbial leaching process</t>
  </si>
  <si>
    <t xml:space="preserve">Process</t>
  </si>
  <si>
    <t xml:space="preserve">Every step documented precisely, with measured metal recovery</t>
  </si>
  <si>
    <t xml:space="preserve">Document the process step by step before filing.</t>
  </si>
  <si>
    <t xml:space="preserve">C3</t>
  </si>
  <si>
    <t xml:space="preserve">Integrated multi-product process from seaweed biomass</t>
  </si>
  <si>
    <t xml:space="preserve">Process (sequence)</t>
  </si>
  <si>
    <t xml:space="preserve">Clear step-by-step claims for the order of the stages and results for each fraction</t>
  </si>
  <si>
    <t xml:space="preserve">A process patent; needs clear step-by-step claims.</t>
  </si>
  <si>
    <t xml:space="preserve">C4</t>
  </si>
  <si>
    <t xml:space="preserve">Field testing protocol for judging remediation effectiveness</t>
  </si>
  <si>
    <t xml:space="preserve">Protocol</t>
  </si>
  <si>
    <t xml:space="preserve">Pilot data showing the combination of tests tracks real outcomes</t>
  </si>
  <si>
    <t xml:space="preserve">Consider publishing as a citable protocol if a patent is not pursued.</t>
  </si>
  <si>
    <t xml:space="preserve">Total</t>
  </si>
  <si>
    <t xml:space="preserve">Foreign / PCT allowance</t>
  </si>
  <si>
    <t xml:space="preserve">Zero until you enter a quote on 'Assumptions'.</t>
  </si>
  <si>
    <t xml:space="preserve">Provisional stage total (all candidates)</t>
  </si>
  <si>
    <t xml:space="preserve">Readiness scale: 0 = idea only; 1 = written description (what you have today); 2 = dated lab notes started; 3 = pilot data; 4 = data supports the claims; 5 = ready to file.</t>
  </si>
  <si>
    <t xml:space="preserve">Check: do provisional filings fit inside the Stage 1 budget?</t>
  </si>
  <si>
    <t xml:space="preserve">Roadmap budget by quarter, three scenarios (US$)</t>
  </si>
  <si>
    <t xml:space="preserve">Each stage's budget is spread evenly across its quarters. Scenario spend = low + (high - low) x the spend position on 'Assumptions'.</t>
  </si>
  <si>
    <t xml:space="preserve">Quarter</t>
  </si>
  <si>
    <t xml:space="preserve">Stage no.</t>
  </si>
  <si>
    <t xml:space="preserve">Quarters in stage</t>
  </si>
  <si>
    <t xml:space="preserve">Cumulative: Conservative</t>
  </si>
  <si>
    <t xml:space="preserve">Cumulative: Base case</t>
  </si>
  <si>
    <t xml:space="preserve">Cumulative: Upside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</si>
  <si>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</si>
  <si>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</si>
  <si>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</si>
  <si>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</si>
  <si>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</si>
  <si>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</si>
  <si>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</si>
  <si>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</si>
  <si>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</si>
  <si>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</si>
  <si>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</si>
  <si>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</si>
  <si>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</si>
  <si>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</si>
  <si>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</si>
  <si>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</si>
  <si>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Scenarios: what you would need, and what you might have achieved</t>
  </si>
  <si>
    <t xml:space="preserve">Outcomes are milestones, not revenue forecasts. Funding secured is for you to fill in (yellow): it is blank because I do not know what you have raised or been promised.</t>
  </si>
  <si>
    <t xml:space="preserve">Need by month (A)</t>
  </si>
  <si>
    <t xml:space="preserve">Need by month (B)</t>
  </si>
  <si>
    <t xml:space="preserve">Need by month (C)</t>
  </si>
  <si>
    <t xml:space="preserve">Funding secured so far (US$)</t>
  </si>
  <si>
    <t xml:space="preserve">Gap at month (B)</t>
  </si>
  <si>
    <t xml:space="preserve">Outcomes at about 36 months</t>
  </si>
  <si>
    <t xml:space="preserve">Months checked:</t>
  </si>
  <si>
    <t xml:space="preserve">Intellectual property filed and a documented data collection built. One or two academic collaborations. Funded mostly by grants.</t>
  </si>
  <si>
    <t xml:space="preserve">Everything in the conservative case, plus a sponsored research or collaboration agreement with an industry partner, validated early results in at least one program, and follow-on funding secured.</t>
  </si>
  <si>
    <t xml:space="preserve">Everything in the base case, plus an option or licence agreement with a biotech or pharma partner and a regional training and laboratory partnership.</t>
  </si>
  <si>
    <t xml:space="preserve">Reading this table</t>
  </si>
  <si>
    <t xml:space="preserve">Need by month (A, B, C) is the cumulative spend in that scenario up to those months. Gap = need at month (B) minus the funding you have secured. A negative gap means you are ahead of the plan.</t>
  </si>
  <si>
    <t xml:space="preserve">Market and need: sourced figures</t>
  </si>
  <si>
    <t xml:space="preserve">Third-party estimates. They disagree because they define the market differently (plasmid only vs. including viral vectors) and use different growth assumptions.</t>
  </si>
  <si>
    <t xml:space="preserve">Metric</t>
  </si>
  <si>
    <t xml:space="preserve">Source</t>
  </si>
  <si>
    <t xml:space="preserve">Base year</t>
  </si>
  <si>
    <t xml:space="preserve">Base value</t>
  </si>
  <si>
    <t xml:space="preserve">Target year</t>
  </si>
  <si>
    <t xml:space="preserve">Target value</t>
  </si>
  <si>
    <t xml:space="preserve">Years</t>
  </si>
  <si>
    <t xml:space="preserve">Implied annual growth</t>
  </si>
  <si>
    <t xml:space="preserve">Unit</t>
  </si>
  <si>
    <t xml:space="preserve">Note</t>
  </si>
  <si>
    <t xml:space="preserve">Plasmid DNA manufacturing (plasmid only)</t>
  </si>
  <si>
    <t xml:space="preserve">Grand View Research, 2025 to 2033 report</t>
  </si>
  <si>
    <t xml:space="preserve">2024</t>
  </si>
  <si>
    <t xml:space="preserve">2033</t>
  </si>
  <si>
    <t xml:space="preserve">US$ billion</t>
  </si>
  <si>
    <t xml:space="preserve">Report states a 23.06% CAGR from 2025.</t>
  </si>
  <si>
    <t xml:space="preserve">Market.us, release of February 2026</t>
  </si>
  <si>
    <t xml:space="preserve">2023</t>
  </si>
  <si>
    <t xml:space="preserve">Report states a 21.8% CAGR.</t>
  </si>
  <si>
    <t xml:space="preserve">Viral vector and plasmid DNA manufacturing</t>
  </si>
  <si>
    <t xml:space="preserve">Astute Analytica, release of 25 August 2025</t>
  </si>
  <si>
    <t xml:space="preserve">Report states a 19.1% CAGR.</t>
  </si>
  <si>
    <t xml:space="preserve">Allied Market Research, release of 2026</t>
  </si>
  <si>
    <t xml:space="preserve">Report states a 20.4% CAGR.</t>
  </si>
  <si>
    <t xml:space="preserve">Deaths directly caused by bacterial antimicrobial resistance, per year</t>
  </si>
  <si>
    <t xml:space="preserve">GBD 2021 Antimicrobial Resistance Collaborators, The Lancet, 16 Sept 2024</t>
  </si>
  <si>
    <t xml:space="preserve">2021</t>
  </si>
  <si>
    <t xml:space="preserve">2050</t>
  </si>
  <si>
    <t xml:space="preserve">million deaths per year</t>
  </si>
  <si>
    <t xml:space="preserve">Cumulative 2025 to 2050: more than 39 million (reference scenario 39.1 million). New Gram-negative antibiotics could avert about 11 million.</t>
  </si>
  <si>
    <t xml:space="preserve">Range of 2033 estimates, plasmid only (US$ billion)</t>
  </si>
  <si>
    <t xml:space="preserve">to</t>
  </si>
  <si>
    <t xml:space="preserve">Range of 2033 estimates, combined with viral vectors (US$ billion)</t>
  </si>
  <si>
    <t xml:space="preserve">Other reports go as high as about 39. This is why the website shows ranges.</t>
  </si>
  <si>
    <t xml:space="preserve">Coastal pressure (context for ThermoDen)</t>
  </si>
  <si>
    <t xml:space="preserve">Year</t>
  </si>
  <si>
    <t xml:space="preserve">Value</t>
  </si>
  <si>
    <t xml:space="preserve">Sargassum recorded in the Atlantic, record total</t>
  </si>
  <si>
    <t xml:space="preserve">UNEP Caribbean Environment Programme</t>
  </si>
  <si>
    <t xml:space="preserve">2025</t>
  </si>
  <si>
    <t xml:space="preserve">million metric tonnes</t>
  </si>
  <si>
    <t xml:space="preserve">May 2025; highest since monitoring began in 2011.</t>
  </si>
  <si>
    <t xml:space="preserve">Estimated cost of cleaning up excess sargassum across the Caribbean</t>
  </si>
  <si>
    <t xml:space="preserve">US Environmental Protection Agency</t>
  </si>
  <si>
    <t xml:space="preserve">2018</t>
  </si>
  <si>
    <t xml:space="preserve">US$ million</t>
  </si>
  <si>
    <t xml:space="preserve">EPA fact sheet on sargassum inundation events.</t>
  </si>
  <si>
    <t xml:space="preserve">Sargassum projected to reach Quintana Roo, Mexico</t>
  </si>
  <si>
    <t xml:space="preserve">Reuters, 28 July 2026</t>
  </si>
  <si>
    <t xml:space="preserve">2026</t>
  </si>
  <si>
    <t xml:space="preserve">tonnes</t>
  </si>
  <si>
    <t xml:space="preserve">Previous record 96,000 tonnes. State governor puts management costs at about 11% of state GDP.</t>
  </si>
  <si>
    <t xml:space="preserve">Corrections log: inconsistencies found in your documents and website, and what I changed</t>
  </si>
  <si>
    <t xml:space="preserve">#</t>
  </si>
  <si>
    <t xml:space="preserve">Where</t>
  </si>
  <si>
    <t xml:space="preserve">What it said</t>
  </si>
  <si>
    <t xml:space="preserve">The problem</t>
  </si>
  <si>
    <t xml:space="preserve">What I did</t>
  </si>
  <si>
    <t xml:space="preserve">Evidence</t>
  </si>
  <si>
    <t xml:space="preserve">Old website: footer and IP page</t>
  </si>
  <si>
    <t xml:space="preserve">"Patent Pending" and "Patent applications in progress"</t>
  </si>
  <si>
    <t xml:space="preserve">Your own IP guide shows no application filed yet (attorney, prior-art search and provisional are still ahead). Saying "patent pending" without a pending application can mislead and can be treated as false marking (35 U.S.C. 292).</t>
  </si>
  <si>
    <t xml:space="preserve">Removed. New sites say the IP strategy is "in development". A switch (PATENT_FILED) turns the wording on once you really have filed.</t>
  </si>
  <si>
    <t xml:space="preserve">Patent Opportunities guide, step list and tentative schedule. Ask counsel.</t>
  </si>
  <si>
    <t xml:space="preserve">Old website: home page stats</t>
  </si>
  <si>
    <t xml:space="preserve">"~0 prior systematic studies of Caribbean hot spring microbiomes"</t>
  </si>
  <si>
    <t xml:space="preserve">Your own proposals cite a published foundational survey of these springs, so "zero" is not accurate.</t>
  </si>
  <si>
    <t xml:space="preserve">Now: "few published surveys; commercial development largely unexplored".</t>
  </si>
  <si>
    <t xml:space="preserve">Hot Springs 1 and 2 (cite a 2009 survey).</t>
  </si>
  <si>
    <t xml:space="preserve">"1st to access this biological territory commercially"</t>
  </si>
  <si>
    <t xml:space="preserve">Cannot be verified, and "first" claims invite challenge.</t>
  </si>
  <si>
    <t xml:space="preserve">Removed. Replaced with neutral language.</t>
  </si>
  <si>
    <t xml:space="preserve">None available.</t>
  </si>
  <si>
    <t xml:space="preserve">Hot Springs 1 and old website</t>
  </si>
  <si>
    <t xml:space="preserve">"$14B plasmid DNA market by 2033"</t>
  </si>
  <si>
    <t xml:space="preserve">Published estimates range from about $5B to $8.5B for plasmid only, and about $15B to $39B when viral vectors are included. One number hides a wide, definition-driven range.</t>
  </si>
  <si>
    <t xml:space="preserve">Shown as ranges with the definition and four named sources (see Market_Context).</t>
  </si>
  <si>
    <t xml:space="preserve">Grand View Research; Market.us; Astute Analytica; Allied Market Research.</t>
  </si>
  <si>
    <t xml:space="preserve">Old website: Technology and Home</t>
  </si>
  <si>
    <t xml:space="preserve">"We have developed a proprietary platform"; "we screen novel isolates against WHO priority pathogens"</t>
  </si>
  <si>
    <t xml:space="preserve">Your proposals describe a concept stage: the pilot study has not been run yet ("our next step").</t>
  </si>
  <si>
    <t xml:space="preserve">Reworded to "concept and planning stage; pilot planned". Investors and partners will check, so claims must match the stage.</t>
  </si>
  <si>
    <t xml:space="preserve">Hot Springs 1, "Our next step".</t>
  </si>
  <si>
    <t xml:space="preserve">Sell a catalogue of natural plasmids for gene therapy and vaccines</t>
  </si>
  <si>
    <t xml:space="preserve">Therapeutic plasmids are made to defined, manufacturing-grade standards in standard production hosts, and your own notes flag characterisation, stability and regulatory hurdles. Raw natural plasmids are unlikely to be a direct product.</t>
  </si>
  <si>
    <t xml:space="preserve">Reframed around what is realistic: curated data and strains, new genetic parts and enzymes, and licensing or collaboration.</t>
  </si>
  <si>
    <t xml:space="preserve">Hot Springs 1 ("Some major challenges"); market reports focus on GMP-grade.</t>
  </si>
  <si>
    <t xml:space="preserve">Patent Opportunities guide</t>
  </si>
  <si>
    <t xml:space="preserve">Provisional filing fee "roughly $350 for small entities"</t>
  </si>
  <si>
    <t xml:space="preserve">USPTO fees are $65 (micro), $130 (small) and $325 (large) since January 2025.</t>
  </si>
  <si>
    <t xml:space="preserve">Corrected in the model, with an entity-status switch.</t>
  </si>
  <si>
    <t xml:space="preserve">37 CFR 1.16(d); USPTO fee schedule.</t>
  </si>
  <si>
    <t xml:space="preserve">Budget "$350 to $1,000" at the provisional stage</t>
  </si>
  <si>
    <t xml:space="preserve">That only works if you prepare the provisional yourself. A professionally prepared biotech provisional commonly costs a few thousand dollars in attorney time on top of the filing fee.</t>
  </si>
  <si>
    <t xml:space="preserve">Both shown: government fee plus an attorney range of $4,000 to $5,000 (one 2026 pricing guide). Get quotes.</t>
  </si>
  <si>
    <t xml:space="preserve">IP Boutique Law, 2026 provisional cost guide.</t>
  </si>
  <si>
    <t xml:space="preserve">"Publish to establish priority" and "do not disclose before filing"</t>
  </si>
  <si>
    <t xml:space="preserve">These conflict unless sequenced: in many countries public disclosure before filing ends patent rights.</t>
  </si>
  <si>
    <t xml:space="preserve">Sequence set as: file the provisional first, then present or publish. Written on the IP_Pipeline sheet.</t>
  </si>
  <si>
    <t xml:space="preserve">Your guide, step 4.</t>
  </si>
  <si>
    <t xml:space="preserve">Hot Springs 2</t>
  </si>
  <si>
    <t xml:space="preserve">Clean-up costs of "US$1 million per kilometre" and France's "EUR 53.9 million"</t>
  </si>
  <si>
    <t xml:space="preserve">I could not verify these figures.</t>
  </si>
  <si>
    <t xml:space="preserve">Replaced on the public site with sourced figures (EPA, UNEP, Reuters). Please verify the originals before reusing them.</t>
  </si>
  <si>
    <t xml:space="preserve">See Market_Context.</t>
  </si>
  <si>
    <t xml:space="preserve">Hot Springs 2 and 5</t>
  </si>
  <si>
    <t xml:space="preserve">References dated 2025 and 2026; a "Hotsprings 3" document</t>
  </si>
  <si>
    <t xml:space="preserve">I could not check these, and Hotsprings 3 was not provided.</t>
  </si>
  <si>
    <t xml:space="preserve">Not used on the public sites. Verify every citation before it goes into a grant or patent.</t>
  </si>
  <si>
    <t xml:space="preserve">n/a</t>
  </si>
  <si>
    <t xml:space="preserve">Lab Experiments document</t>
  </si>
  <si>
    <t xml:space="preserve">Experiment 1 measures copper and zinc "with the Hach kit"</t>
  </si>
  <si>
    <t xml:space="preserve">The materials list includes only an arsenic kit, so copper and zinc could not be measured as written.</t>
  </si>
  <si>
    <t xml:space="preserve">Added as an unfunded line on Assumptions.</t>
  </si>
  <si>
    <t xml:space="preserve">Lab Experiments document, materials table vs. Experiment 1.</t>
  </si>
  <si>
    <t xml:space="preserve">Run with an arsenic compound in a "private lab"</t>
  </si>
  <si>
    <t xml:space="preserve">Arsenic compounds are toxic and need safety approval, protective equipment and hazardous-waste disposal.</t>
  </si>
  <si>
    <t xml:space="preserve">Added unfunded lines for safety review, protective equipment and waste. A university or contract lab is a safer base.</t>
  </si>
  <si>
    <t xml:space="preserve">Safety practice.</t>
  </si>
  <si>
    <t xml:space="preserve">"Purchased strains are legally valid"</t>
  </si>
  <si>
    <t xml:space="preserve">Whether results from a purchased strain support your claims depends on how the claims are written. New strains used in a claim may need to be deposited in a recognised collection.</t>
  </si>
  <si>
    <t xml:space="preserve">Flagged for your patent attorney: confirm claim scope and any deposit requirement.</t>
  </si>
  <si>
    <t xml:space="preserve">Ask counsel (Budapest Treaty deposit practice).</t>
  </si>
  <si>
    <t xml:space="preserve">Old website: contact</t>
  </si>
  <si>
    <t xml:space="preserve">Two different email addresses, one personal, plus EmailJS for the form</t>
  </si>
  <si>
    <t xml:space="preserve">Mixed contact addresses, a third-party service holding keys in the page, and nothing to stop abuse.</t>
  </si>
  <si>
    <t xml:space="preserve">Contact form, chat and NDA request now save to a private inbox in your own database, with rate limits.</t>
  </si>
  <si>
    <t xml:space="preserve">Old website: files</t>
  </si>
  <si>
    <t xml:space="preserve">Depended on styles.css, script.js and team images that were not provided</t>
  </si>
  <si>
    <t xml:space="preserve">The page could not work on its own.</t>
  </si>
  <si>
    <t xml:space="preserve">New sites are self-contained.</t>
  </si>
  <si>
    <t xml:space="preserve">Your resume vs. the website</t>
  </si>
  <si>
    <t xml:space="preserve">Founder bio</t>
  </si>
  <si>
    <t xml:space="preserve">Consistent, but your resume includes private details and a ministry role.</t>
  </si>
  <si>
    <t xml:space="preserve">Public bio uses degrees, roles, honours, publications and languages. Phone, home address and personal email left off. MDiv included in education; the pastoral role is left out (you can add it).</t>
  </si>
  <si>
    <t xml:space="preserve">Resume provided.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</si>
</sst>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"/>
    <numFmt numFmtId="167" formatCode="0"/>
    <numFmt numFmtId="168" formatCode="yyyy\-mm\-dd"/>
    <numFmt numFmtId="169" formatCode="\$#,##0"/>
    <numFmt numFmtId="170" formatCode="0.0%"/>
    <numFmt numFmtId="171" formatCode="#,##0.0"/>
    <numFmt numFmtId="172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F3A"/>
      <name val="Arial"/>
      <family val="0"/>
      <charset val="1"/>
    </font>
    <font>
      <b val="true"/>
      <sz val="10"/>
      <color rgb="FFA1342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23F3A"/>
      <name val="Arial"/>
      <family val="0"/>
      <charset val="1"/>
    </font>
    <font>
      <i val="true"/>
      <sz val="10"/>
      <color rgb="FF5163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3F3A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BE0D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62"/>
      <rgbColor rgb="FFC9D3CE"/>
      <rgbColor rgb="FF878787"/>
      <rgbColor rgb="FF9999FF"/>
      <rgbColor rgb="FFBE4B48"/>
      <rgbColor rgb="FFFBE0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1635E"/>
      <rgbColor rgb="FF969696"/>
      <rgbColor rgb="FF123F3A"/>
      <rgbColor rgb="FF339966"/>
      <rgbColor rgb="FF003300"/>
      <rgbColor rgb="FF333300"/>
      <rgbColor rgb="FFA134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funding need by scenario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Roadmap_Budget!I4</c:f>
              <c:strCache>
                <c:ptCount val="1"/>
                <c:pt idx="0">
                  <c:v>Cumulative: Conservative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Roadmap_Budget!$A$5:$A$20</c:f>
              <c:strCache>
                <c:ptCount val="1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Roadmap_Budget!$I$5:$I$20</c:f>
              <c:numCache>
                <c:formatCode>\$#,##0;"($"#,##0\);\-</c:formatCode>
                <c:ptCount val="16"/>
                <c:pt idx="0">
                  <c:v>21250</c:v>
                </c:pt>
                <c:pt idx="1">
                  <c:v>42500</c:v>
                </c:pt>
                <c:pt idx="2">
                  <c:v>85000</c:v>
                </c:pt>
                <c:pt idx="3">
                  <c:v>127500</c:v>
                </c:pt>
                <c:pt idx="4">
                  <c:v>170000</c:v>
                </c:pt>
                <c:pt idx="5">
                  <c:v>212500</c:v>
                </c:pt>
                <c:pt idx="6">
                  <c:v>348750</c:v>
                </c:pt>
                <c:pt idx="7">
                  <c:v>485000</c:v>
                </c:pt>
                <c:pt idx="8">
                  <c:v>621250</c:v>
                </c:pt>
                <c:pt idx="9">
                  <c:v>757500</c:v>
                </c:pt>
                <c:pt idx="10">
                  <c:v>1040833.33333333</c:v>
                </c:pt>
                <c:pt idx="11">
                  <c:v>1324166.66666667</c:v>
                </c:pt>
                <c:pt idx="12">
                  <c:v>1607500</c:v>
                </c:pt>
                <c:pt idx="13">
                  <c:v>1890833.33333333</c:v>
                </c:pt>
                <c:pt idx="14">
                  <c:v>2174166.66666667</c:v>
                </c:pt>
                <c:pt idx="15">
                  <c:v>2457500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Roadmap_Budget!J4</c:f>
              <c:strCache>
                <c:ptCount val="1"/>
                <c:pt idx="0">
                  <c:v>Cumulative: Base case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Roadmap_Budget!$A$5:$A$20</c:f>
              <c:strCache>
                <c:ptCount val="1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Roadmap_Budget!$J$5:$J$20</c:f>
              <c:numCache>
                <c:formatCode>\$#,##0;"($"#,##0\);\-</c:formatCode>
                <c:ptCount val="16"/>
                <c:pt idx="0">
                  <c:v>27500</c:v>
                </c:pt>
                <c:pt idx="1">
                  <c:v>55000</c:v>
                </c:pt>
                <c:pt idx="2">
                  <c:v>110000</c:v>
                </c:pt>
                <c:pt idx="3">
                  <c:v>165000</c:v>
                </c:pt>
                <c:pt idx="4">
                  <c:v>220000</c:v>
                </c:pt>
                <c:pt idx="5">
                  <c:v>275000</c:v>
                </c:pt>
                <c:pt idx="6">
                  <c:v>455000</c:v>
                </c:pt>
                <c:pt idx="7">
                  <c:v>635000</c:v>
                </c:pt>
                <c:pt idx="8">
                  <c:v>815000</c:v>
                </c:pt>
                <c:pt idx="9">
                  <c:v>995000</c:v>
                </c:pt>
                <c:pt idx="10">
                  <c:v>1361666.66666667</c:v>
                </c:pt>
                <c:pt idx="11">
                  <c:v>1728333.33333333</c:v>
                </c:pt>
                <c:pt idx="12">
                  <c:v>2095000</c:v>
                </c:pt>
                <c:pt idx="13">
                  <c:v>2461666.66666667</c:v>
                </c:pt>
                <c:pt idx="14">
                  <c:v>2828333.33333333</c:v>
                </c:pt>
                <c:pt idx="15">
                  <c:v>3195000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Roadmap_Budget!K4</c:f>
              <c:strCache>
                <c:ptCount val="1"/>
                <c:pt idx="0">
                  <c:v>Cumulative: Upside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Roadmap_Budget!$A$5:$A$20</c:f>
              <c:strCache>
                <c:ptCount val="1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Roadmap_Budget!$K$5:$K$20</c:f>
              <c:numCache>
                <c:formatCode>\$#,##0;"($"#,##0\);\-</c:formatCode>
                <c:ptCount val="16"/>
                <c:pt idx="0">
                  <c:v>33750</c:v>
                </c:pt>
                <c:pt idx="1">
                  <c:v>67500</c:v>
                </c:pt>
                <c:pt idx="2">
                  <c:v>135000</c:v>
                </c:pt>
                <c:pt idx="3">
                  <c:v>202500</c:v>
                </c:pt>
                <c:pt idx="4">
                  <c:v>270000</c:v>
                </c:pt>
                <c:pt idx="5">
                  <c:v>337500</c:v>
                </c:pt>
                <c:pt idx="6">
                  <c:v>561250</c:v>
                </c:pt>
                <c:pt idx="7">
                  <c:v>785000</c:v>
                </c:pt>
                <c:pt idx="8">
                  <c:v>1008750</c:v>
                </c:pt>
                <c:pt idx="9">
                  <c:v>1232500</c:v>
                </c:pt>
                <c:pt idx="10">
                  <c:v>1682500</c:v>
                </c:pt>
                <c:pt idx="11">
                  <c:v>2132500</c:v>
                </c:pt>
                <c:pt idx="12">
                  <c:v>2582500</c:v>
                </c:pt>
                <c:pt idx="13">
                  <c:v>3032500</c:v>
                </c:pt>
                <c:pt idx="14">
                  <c:v>3482500</c:v>
                </c:pt>
                <c:pt idx="15">
                  <c:v>3932500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816041"/>
        <c:axId val="64007725"/>
      </c:lineChart>
      <c:catAx>
        <c:axId val="108160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07725"/>
        <c:crosses val="autoZero"/>
        <c:auto val="1"/>
        <c:lblAlgn val="ctr"/>
        <c:lblOffset val="100"/>
        <c:noMultiLvlLbl val="0"/>
      </c:catAx>
      <c:valAx>
        <c:axId val="64007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160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48240</xdr:rowOff>
    </xdr:from>
    <xdr:to>
      <xdr:col>8</xdr:col>
      <xdr:colOff>307080</xdr:colOff>
      <xdr:row>39</xdr:row>
      <xdr:rowOff>49320</xdr:rowOff>
    </xdr:to>
    <xdr:graphicFrame>
      <xdr:nvGraphicFramePr>
        <xdr:cNvPr id="0" name="Chart 1"/>
        <xdr:cNvGraphicFramePr/>
      </xdr:nvGraphicFramePr>
      <xdr:xfrm>
        <a:off x="0" y="4381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3F3A"/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1" customFormat="false" ht="48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3F3A"/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5" t="s">
        <v>18</v>
      </c>
    </row>
    <row r="2" customFormat="false" ht="15" hidden="false" customHeight="false" outlineLevel="0" collapsed="false">
      <c r="A2" s="6" t="s">
        <v>19</v>
      </c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</row>
    <row r="5" customFormat="false" ht="42" hidden="false" customHeight="true" outlineLevel="0" collapsed="false">
      <c r="A5" s="8" t="s">
        <v>26</v>
      </c>
      <c r="B5" s="9" t="n">
        <v>0</v>
      </c>
      <c r="C5" s="9" t="n">
        <v>6</v>
      </c>
      <c r="D5" s="10" t="n">
        <v>25000</v>
      </c>
      <c r="E5" s="10" t="n">
        <v>75000</v>
      </c>
      <c r="F5" s="11" t="s">
        <v>27</v>
      </c>
    </row>
    <row r="6" customFormat="false" ht="42" hidden="false" customHeight="true" outlineLevel="0" collapsed="false">
      <c r="A6" s="8" t="s">
        <v>28</v>
      </c>
      <c r="B6" s="9" t="n">
        <v>6</v>
      </c>
      <c r="C6" s="9" t="n">
        <v>18</v>
      </c>
      <c r="D6" s="10" t="n">
        <v>100000</v>
      </c>
      <c r="E6" s="10" t="n">
        <v>300000</v>
      </c>
      <c r="F6" s="11" t="s">
        <v>27</v>
      </c>
    </row>
    <row r="7" customFormat="false" ht="42" hidden="false" customHeight="true" outlineLevel="0" collapsed="false">
      <c r="A7" s="8" t="s">
        <v>29</v>
      </c>
      <c r="B7" s="9" t="n">
        <v>18</v>
      </c>
      <c r="C7" s="9" t="n">
        <v>30</v>
      </c>
      <c r="D7" s="10" t="n">
        <v>300000</v>
      </c>
      <c r="E7" s="10" t="n">
        <v>1000000</v>
      </c>
      <c r="F7" s="11" t="s">
        <v>27</v>
      </c>
    </row>
    <row r="8" customFormat="false" ht="42" hidden="false" customHeight="true" outlineLevel="0" collapsed="false">
      <c r="A8" s="8" t="s">
        <v>30</v>
      </c>
      <c r="B8" s="9" t="n">
        <v>30</v>
      </c>
      <c r="C8" s="9" t="n">
        <v>48</v>
      </c>
      <c r="D8" s="10" t="n">
        <v>1000000</v>
      </c>
      <c r="E8" s="10" t="n">
        <v>3000000</v>
      </c>
      <c r="F8" s="11" t="s">
        <v>27</v>
      </c>
    </row>
    <row r="10" customFormat="false" ht="35.05" hidden="false" customHeight="false" outlineLevel="0" collapsed="false">
      <c r="A10" s="7" t="s">
        <v>31</v>
      </c>
      <c r="B10" s="7" t="s">
        <v>32</v>
      </c>
      <c r="C10" s="7"/>
      <c r="D10" s="7"/>
      <c r="E10" s="7"/>
      <c r="F10" s="7" t="s">
        <v>33</v>
      </c>
    </row>
    <row r="11" customFormat="false" ht="42" hidden="false" customHeight="true" outlineLevel="0" collapsed="false">
      <c r="A11" s="8" t="s">
        <v>34</v>
      </c>
      <c r="B11" s="12" t="n">
        <v>0.35</v>
      </c>
      <c r="F11" s="11" t="s">
        <v>35</v>
      </c>
    </row>
    <row r="12" customFormat="false" ht="42" hidden="false" customHeight="true" outlineLevel="0" collapsed="false">
      <c r="A12" s="8" t="s">
        <v>36</v>
      </c>
      <c r="B12" s="12" t="n">
        <v>0.6</v>
      </c>
      <c r="F12" s="11" t="s">
        <v>37</v>
      </c>
    </row>
    <row r="13" customFormat="false" ht="42" hidden="false" customHeight="true" outlineLevel="0" collapsed="false">
      <c r="A13" s="8" t="s">
        <v>38</v>
      </c>
      <c r="B13" s="12" t="n">
        <v>0.85</v>
      </c>
      <c r="F13" s="11" t="s">
        <v>39</v>
      </c>
    </row>
    <row r="15" customFormat="false" ht="15" hidden="false" customHeight="false" outlineLevel="0" collapsed="false">
      <c r="A15" s="7" t="s">
        <v>40</v>
      </c>
      <c r="B15" s="7" t="s">
        <v>41</v>
      </c>
      <c r="C15" s="7"/>
      <c r="D15" s="7"/>
      <c r="E15" s="7"/>
      <c r="F15" s="7" t="s">
        <v>42</v>
      </c>
    </row>
    <row r="16" customFormat="false" ht="33.75" hidden="false" customHeight="true" outlineLevel="0" collapsed="false">
      <c r="A16" s="11" t="s">
        <v>43</v>
      </c>
      <c r="B16" s="13" t="n">
        <v>2</v>
      </c>
      <c r="F16" s="11" t="s">
        <v>44</v>
      </c>
    </row>
    <row r="17" customFormat="false" ht="33.75" hidden="false" customHeight="true" outlineLevel="0" collapsed="false">
      <c r="A17" s="11" t="s">
        <v>45</v>
      </c>
      <c r="B17" s="14" t="n">
        <v>65</v>
      </c>
      <c r="F17" s="11" t="s">
        <v>46</v>
      </c>
    </row>
    <row r="18" customFormat="false" ht="33.75" hidden="false" customHeight="true" outlineLevel="0" collapsed="false">
      <c r="A18" s="11" t="s">
        <v>47</v>
      </c>
      <c r="B18" s="14" t="n">
        <v>130</v>
      </c>
      <c r="F18" s="11" t="s">
        <v>48</v>
      </c>
    </row>
    <row r="19" customFormat="false" ht="33.75" hidden="false" customHeight="true" outlineLevel="0" collapsed="false">
      <c r="A19" s="11" t="s">
        <v>49</v>
      </c>
      <c r="B19" s="14" t="n">
        <v>325</v>
      </c>
      <c r="F19" s="11" t="s">
        <v>50</v>
      </c>
    </row>
    <row r="20" customFormat="false" ht="33.75" hidden="false" customHeight="true" outlineLevel="0" collapsed="false">
      <c r="A20" s="11" t="s">
        <v>51</v>
      </c>
      <c r="B20" s="15" t="n">
        <f aca="false">CHOOSE(B16,B17,B18,B19)</f>
        <v>130</v>
      </c>
      <c r="F20" s="11" t="s">
        <v>52</v>
      </c>
    </row>
    <row r="21" customFormat="false" ht="33.75" hidden="false" customHeight="true" outlineLevel="0" collapsed="false">
      <c r="A21" s="11" t="s">
        <v>53</v>
      </c>
      <c r="B21" s="14" t="n">
        <v>4000</v>
      </c>
      <c r="F21" s="11" t="s">
        <v>54</v>
      </c>
    </row>
    <row r="22" customFormat="false" ht="33.75" hidden="false" customHeight="true" outlineLevel="0" collapsed="false">
      <c r="A22" s="11" t="s">
        <v>55</v>
      </c>
      <c r="B22" s="14" t="n">
        <v>5000</v>
      </c>
      <c r="F22" s="11" t="s">
        <v>48</v>
      </c>
    </row>
    <row r="23" customFormat="false" ht="33.75" hidden="false" customHeight="true" outlineLevel="0" collapsed="false">
      <c r="A23" s="11" t="s">
        <v>56</v>
      </c>
      <c r="B23" s="14" t="n">
        <v>5000</v>
      </c>
      <c r="F23" s="11" t="s">
        <v>57</v>
      </c>
    </row>
    <row r="24" customFormat="false" ht="33.75" hidden="false" customHeight="true" outlineLevel="0" collapsed="false">
      <c r="A24" s="11" t="s">
        <v>58</v>
      </c>
      <c r="B24" s="14" t="n">
        <v>15000</v>
      </c>
      <c r="F24" s="11" t="s">
        <v>59</v>
      </c>
    </row>
    <row r="25" customFormat="false" ht="33.75" hidden="false" customHeight="true" outlineLevel="0" collapsed="false">
      <c r="A25" s="11" t="s">
        <v>60</v>
      </c>
      <c r="B25" s="10" t="n">
        <v>0</v>
      </c>
      <c r="F25" s="11" t="s">
        <v>61</v>
      </c>
    </row>
    <row r="26" customFormat="false" ht="33.75" hidden="false" customHeight="true" outlineLevel="0" collapsed="false">
      <c r="A26" s="11" t="s">
        <v>62</v>
      </c>
      <c r="B26" s="13" t="n">
        <v>4</v>
      </c>
      <c r="F26" s="11" t="s">
        <v>63</v>
      </c>
    </row>
    <row r="29" customFormat="false" ht="23.85" hidden="false" customHeight="false" outlineLevel="0" collapsed="false">
      <c r="A29" s="7" t="s">
        <v>64</v>
      </c>
      <c r="B29" s="7" t="s">
        <v>65</v>
      </c>
      <c r="C29" s="7" t="s">
        <v>66</v>
      </c>
      <c r="D29" s="7"/>
      <c r="E29" s="7"/>
      <c r="F29" s="7" t="s">
        <v>42</v>
      </c>
    </row>
    <row r="30" customFormat="false" ht="15" hidden="false" customHeight="false" outlineLevel="0" collapsed="false">
      <c r="A30" s="16" t="s">
        <v>67</v>
      </c>
      <c r="B30" s="14" t="n">
        <v>400</v>
      </c>
      <c r="C30" s="14" t="n">
        <v>600</v>
      </c>
      <c r="F30" s="11" t="s">
        <v>68</v>
      </c>
    </row>
    <row r="31" customFormat="false" ht="15" hidden="false" customHeight="false" outlineLevel="0" collapsed="false">
      <c r="A31" s="16" t="s">
        <v>69</v>
      </c>
      <c r="B31" s="14" t="n">
        <v>15</v>
      </c>
      <c r="C31" s="14" t="n">
        <v>40</v>
      </c>
      <c r="F31" s="11" t="s">
        <v>68</v>
      </c>
    </row>
    <row r="32" customFormat="false" ht="15" hidden="false" customHeight="false" outlineLevel="0" collapsed="false">
      <c r="A32" s="16" t="s">
        <v>70</v>
      </c>
      <c r="B32" s="14" t="n">
        <v>10</v>
      </c>
      <c r="C32" s="14" t="n">
        <v>30</v>
      </c>
      <c r="F32" s="11" t="s">
        <v>68</v>
      </c>
    </row>
    <row r="33" customFormat="false" ht="15" hidden="false" customHeight="false" outlineLevel="0" collapsed="false">
      <c r="A33" s="16" t="s">
        <v>71</v>
      </c>
      <c r="B33" s="14" t="n">
        <v>30</v>
      </c>
      <c r="C33" s="14" t="n">
        <v>60</v>
      </c>
      <c r="F33" s="11" t="s">
        <v>68</v>
      </c>
    </row>
    <row r="34" customFormat="false" ht="15" hidden="false" customHeight="false" outlineLevel="0" collapsed="false">
      <c r="A34" s="16" t="s">
        <v>72</v>
      </c>
      <c r="B34" s="14" t="n">
        <v>50</v>
      </c>
      <c r="C34" s="14" t="n">
        <v>150</v>
      </c>
      <c r="F34" s="11" t="s">
        <v>68</v>
      </c>
    </row>
    <row r="35" customFormat="false" ht="15" hidden="false" customHeight="false" outlineLevel="0" collapsed="false">
      <c r="A35" s="16" t="s">
        <v>73</v>
      </c>
      <c r="B35" s="14" t="n">
        <v>15</v>
      </c>
      <c r="C35" s="14" t="n">
        <v>30</v>
      </c>
      <c r="F35" s="11" t="s">
        <v>68</v>
      </c>
    </row>
    <row r="36" customFormat="false" ht="15" hidden="false" customHeight="false" outlineLevel="0" collapsed="false">
      <c r="A36" s="16" t="s">
        <v>74</v>
      </c>
      <c r="B36" s="14" t="n">
        <v>5</v>
      </c>
      <c r="C36" s="14" t="n">
        <v>25</v>
      </c>
      <c r="F36" s="11" t="s">
        <v>68</v>
      </c>
    </row>
    <row r="37" customFormat="false" ht="15" hidden="false" customHeight="false" outlineLevel="0" collapsed="false">
      <c r="A37" s="16" t="s">
        <v>75</v>
      </c>
      <c r="B37" s="14" t="n">
        <v>5</v>
      </c>
      <c r="C37" s="14" t="n">
        <v>15</v>
      </c>
      <c r="F37" s="11" t="s">
        <v>68</v>
      </c>
    </row>
    <row r="38" customFormat="false" ht="15" hidden="false" customHeight="false" outlineLevel="0" collapsed="false">
      <c r="A38" s="16" t="s">
        <v>76</v>
      </c>
      <c r="B38" s="14" t="n">
        <v>5</v>
      </c>
      <c r="C38" s="14" t="n">
        <v>15</v>
      </c>
      <c r="F38" s="11" t="s">
        <v>68</v>
      </c>
    </row>
    <row r="39" customFormat="false" ht="15" hidden="false" customHeight="false" outlineLevel="0" collapsed="false">
      <c r="A39" s="8" t="s">
        <v>77</v>
      </c>
      <c r="B39" s="17" t="n">
        <f aca="false">SUM(B30:B38)</f>
        <v>535</v>
      </c>
      <c r="C39" s="17" t="n">
        <f aca="false">SUM(C30:C38)</f>
        <v>965</v>
      </c>
      <c r="F39" s="11" t="s">
        <v>78</v>
      </c>
    </row>
    <row r="40" customFormat="false" ht="43.5" hidden="false" customHeight="true" outlineLevel="0" collapsed="false">
      <c r="A40" s="18" t="s">
        <v>79</v>
      </c>
      <c r="B40" s="10" t="n">
        <v>0</v>
      </c>
      <c r="C40" s="10" t="n">
        <v>0</v>
      </c>
      <c r="F40" s="11" t="s">
        <v>80</v>
      </c>
    </row>
    <row r="41" customFormat="false" ht="43.5" hidden="false" customHeight="true" outlineLevel="0" collapsed="false">
      <c r="A41" s="18" t="s">
        <v>81</v>
      </c>
      <c r="B41" s="10" t="n">
        <v>0</v>
      </c>
      <c r="C41" s="10" t="n">
        <v>0</v>
      </c>
      <c r="F41" s="11" t="s">
        <v>80</v>
      </c>
    </row>
    <row r="42" customFormat="false" ht="43.5" hidden="false" customHeight="true" outlineLevel="0" collapsed="false">
      <c r="A42" s="18" t="s">
        <v>82</v>
      </c>
      <c r="B42" s="10" t="n">
        <v>0</v>
      </c>
      <c r="C42" s="10" t="n">
        <v>0</v>
      </c>
      <c r="F42" s="11" t="s">
        <v>80</v>
      </c>
    </row>
    <row r="43" customFormat="false" ht="15" hidden="false" customHeight="false" outlineLevel="0" collapsed="false">
      <c r="A43" s="8" t="s">
        <v>83</v>
      </c>
      <c r="B43" s="17" t="n">
        <f aca="false">B39+SUM(B40:B42)</f>
        <v>535</v>
      </c>
      <c r="C43" s="17" t="n">
        <f aca="false">C39+SUM(C40:C42)</f>
        <v>965</v>
      </c>
    </row>
  </sheetData>
  <dataValidations count="1">
    <dataValidation allowBlank="false" errorStyle="stop" operator="between" showDropDown="false" showErrorMessage="false" showInputMessage="false" sqref="B1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62"/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10" min="6" style="0" width="16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5" t="s">
        <v>84</v>
      </c>
    </row>
    <row r="2" customFormat="false" ht="15" hidden="false" customHeight="false" outlineLevel="0" collapsed="false">
      <c r="A2" s="2" t="s">
        <v>85</v>
      </c>
    </row>
    <row r="4" customFormat="false" ht="35.05" hidden="false" customHeight="false" outlineLevel="0" collapsed="false">
      <c r="A4" s="7" t="s">
        <v>86</v>
      </c>
      <c r="B4" s="7" t="s">
        <v>87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  <c r="J4" s="7" t="s">
        <v>95</v>
      </c>
      <c r="K4" s="7" t="s">
        <v>96</v>
      </c>
    </row>
    <row r="5" customFormat="false" ht="61.5" hidden="false" customHeight="true" outlineLevel="0" collapsed="false">
      <c r="A5" s="8" t="s">
        <v>97</v>
      </c>
      <c r="B5" s="11" t="s">
        <v>98</v>
      </c>
      <c r="C5" s="11" t="s">
        <v>99</v>
      </c>
      <c r="D5" s="11" t="s">
        <v>100</v>
      </c>
      <c r="E5" s="19" t="n">
        <v>1</v>
      </c>
      <c r="F5" s="20" t="n">
        <f aca="false">Assumptions!$B$20+Assumptions!$B$21</f>
        <v>4130</v>
      </c>
      <c r="G5" s="20" t="n">
        <f aca="false">Assumptions!$B$20+Assumptions!$B$22</f>
        <v>5130</v>
      </c>
      <c r="H5" s="20" t="n">
        <f aca="false">Assumptions!$B$23</f>
        <v>5000</v>
      </c>
      <c r="I5" s="20" t="n">
        <f aca="false">Assumptions!$B$24</f>
        <v>15000</v>
      </c>
      <c r="J5" s="21"/>
      <c r="K5" s="11" t="s">
        <v>101</v>
      </c>
    </row>
    <row r="6" customFormat="false" ht="61.5" hidden="false" customHeight="true" outlineLevel="0" collapsed="false">
      <c r="A6" s="8" t="s">
        <v>102</v>
      </c>
      <c r="B6" s="11" t="s">
        <v>103</v>
      </c>
      <c r="C6" s="11" t="s">
        <v>104</v>
      </c>
      <c r="D6" s="11" t="s">
        <v>105</v>
      </c>
      <c r="E6" s="19" t="n">
        <v>1</v>
      </c>
      <c r="F6" s="20" t="n">
        <f aca="false">Assumptions!$B$20+Assumptions!$B$21</f>
        <v>4130</v>
      </c>
      <c r="G6" s="20" t="n">
        <f aca="false">Assumptions!$B$20+Assumptions!$B$22</f>
        <v>5130</v>
      </c>
      <c r="H6" s="20" t="n">
        <f aca="false">Assumptions!$B$23</f>
        <v>5000</v>
      </c>
      <c r="I6" s="20" t="n">
        <f aca="false">Assumptions!$B$24</f>
        <v>15000</v>
      </c>
      <c r="J6" s="21"/>
      <c r="K6" s="11" t="s">
        <v>106</v>
      </c>
    </row>
    <row r="7" customFormat="false" ht="61.5" hidden="false" customHeight="true" outlineLevel="0" collapsed="false">
      <c r="A7" s="8" t="s">
        <v>107</v>
      </c>
      <c r="B7" s="11" t="s">
        <v>108</v>
      </c>
      <c r="C7" s="11" t="s">
        <v>109</v>
      </c>
      <c r="D7" s="11" t="s">
        <v>110</v>
      </c>
      <c r="E7" s="19" t="n">
        <v>1</v>
      </c>
      <c r="F7" s="20" t="n">
        <f aca="false">Assumptions!$B$20+Assumptions!$B$21</f>
        <v>4130</v>
      </c>
      <c r="G7" s="20" t="n">
        <f aca="false">Assumptions!$B$20+Assumptions!$B$22</f>
        <v>5130</v>
      </c>
      <c r="H7" s="20" t="n">
        <f aca="false">Assumptions!$B$23</f>
        <v>5000</v>
      </c>
      <c r="I7" s="20" t="n">
        <f aca="false">Assumptions!$B$24</f>
        <v>15000</v>
      </c>
      <c r="J7" s="21"/>
      <c r="K7" s="11" t="s">
        <v>111</v>
      </c>
    </row>
    <row r="8" customFormat="false" ht="61.5" hidden="false" customHeight="true" outlineLevel="0" collapsed="false">
      <c r="A8" s="8" t="s">
        <v>112</v>
      </c>
      <c r="B8" s="11" t="s">
        <v>113</v>
      </c>
      <c r="C8" s="11" t="s">
        <v>114</v>
      </c>
      <c r="D8" s="11" t="s">
        <v>115</v>
      </c>
      <c r="E8" s="19" t="n">
        <v>1</v>
      </c>
      <c r="F8" s="20" t="n">
        <f aca="false">Assumptions!$B$20+Assumptions!$B$21</f>
        <v>4130</v>
      </c>
      <c r="G8" s="20" t="n">
        <f aca="false">Assumptions!$B$20+Assumptions!$B$22</f>
        <v>5130</v>
      </c>
      <c r="H8" s="20" t="n">
        <f aca="false">Assumptions!$B$23</f>
        <v>5000</v>
      </c>
      <c r="I8" s="20" t="n">
        <f aca="false">Assumptions!$B$24</f>
        <v>15000</v>
      </c>
      <c r="J8" s="21"/>
      <c r="K8" s="11" t="s">
        <v>116</v>
      </c>
    </row>
    <row r="9" customFormat="false" ht="15" hidden="false" customHeight="false" outlineLevel="0" collapsed="false">
      <c r="A9" s="8" t="s">
        <v>117</v>
      </c>
      <c r="F9" s="17" t="n">
        <f aca="false">SUM(F5:F8)</f>
        <v>16520</v>
      </c>
      <c r="G9" s="17" t="n">
        <f aca="false">SUM(G5:G8)</f>
        <v>20520</v>
      </c>
      <c r="H9" s="17" t="n">
        <f aca="false">SUM(H5:H8)</f>
        <v>20000</v>
      </c>
      <c r="I9" s="17" t="n">
        <f aca="false">SUM(I5:I8)</f>
        <v>60000</v>
      </c>
    </row>
    <row r="10" customFormat="false" ht="15" hidden="false" customHeight="false" outlineLevel="0" collapsed="false">
      <c r="A10" s="8" t="s">
        <v>118</v>
      </c>
      <c r="F10" s="20" t="n">
        <f aca="false">Assumptions!$B$25*Assumptions!$B$26</f>
        <v>0</v>
      </c>
      <c r="K10" s="11" t="s">
        <v>119</v>
      </c>
    </row>
    <row r="11" customFormat="false" ht="15" hidden="false" customHeight="false" outlineLevel="0" collapsed="false">
      <c r="A11" s="8" t="s">
        <v>120</v>
      </c>
      <c r="F11" s="17" t="n">
        <f aca="false">F9</f>
        <v>16520</v>
      </c>
      <c r="G11" s="17" t="n">
        <f aca="false">G9</f>
        <v>20520</v>
      </c>
    </row>
    <row r="13" customFormat="false" ht="15" hidden="false" customHeight="false" outlineLevel="0" collapsed="false">
      <c r="A13" s="22" t="s">
        <v>121</v>
      </c>
    </row>
    <row r="14" customFormat="false" ht="15" hidden="false" customHeight="false" outlineLevel="0" collapsed="false">
      <c r="A14" s="8" t="s">
        <v>122</v>
      </c>
      <c r="F14" s="16" t="str">
        <f aca="false">IF(G11&gt;Assumptions!E5,"NO: raise Stage 1 or file fewer candidates",IF(G11&gt;Assumptions!D5,"Fits, but uses most of the Stage 1 range","Fits comfortably"))</f>
        <v>Fits comfortably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62"/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8" min="5" style="0" width="16"/>
    <col collapsed="false" customWidth="true" hidden="false" outlineLevel="0" max="11" min="9" style="0" width="22"/>
  </cols>
  <sheetData>
    <row r="1" customFormat="false" ht="17.35" hidden="false" customHeight="false" outlineLevel="0" collapsed="false">
      <c r="A1" s="5" t="s">
        <v>123</v>
      </c>
    </row>
    <row r="2" customFormat="false" ht="15" hidden="false" customHeight="false" outlineLevel="0" collapsed="false">
      <c r="A2" s="6" t="s">
        <v>124</v>
      </c>
    </row>
    <row r="4" customFormat="false" ht="23.85" hidden="false" customHeight="false" outlineLevel="0" collapsed="false">
      <c r="A4" s="7" t="s">
        <v>125</v>
      </c>
      <c r="B4" s="7" t="s">
        <v>21</v>
      </c>
      <c r="C4" s="7" t="s">
        <v>22</v>
      </c>
      <c r="D4" s="7" t="s">
        <v>126</v>
      </c>
      <c r="E4" s="7" t="s">
        <v>127</v>
      </c>
      <c r="F4" s="7" t="s">
        <v>34</v>
      </c>
      <c r="G4" s="7" t="s">
        <v>36</v>
      </c>
      <c r="H4" s="7" t="s">
        <v>38</v>
      </c>
      <c r="I4" s="7" t="s">
        <v>128</v>
      </c>
      <c r="J4" s="7" t="s">
        <v>129</v>
      </c>
      <c r="K4" s="7" t="s">
        <v>130</v>
      </c>
    </row>
    <row r="5" customFormat="false" ht="15" hidden="false" customHeight="false" outlineLevel="0" collapsed="false">
      <c r="A5" s="8" t="s">
        <v>131</v>
      </c>
      <c r="B5" s="23" t="n">
        <v>0</v>
      </c>
      <c r="C5" s="24" t="n">
        <f aca="false">B5+3</f>
        <v>3</v>
      </c>
      <c r="D5" s="25" t="n">
        <f aca="false">MATCH(B5,Assumptions!$B$5:$B$8,1)</f>
        <v>1</v>
      </c>
      <c r="E5" s="25" t="n">
        <f aca="false">(INDEX(Assumptions!$C$5:$C$8,D5)-INDEX(Assumptions!$B$5:$B$8,D5))/3</f>
        <v>2</v>
      </c>
      <c r="F5" s="20" t="n">
        <f aca="false">(INDEX(Assumptions!$D$5:$D$8,$D5)+(INDEX(Assumptions!$E$5:$E$8,$D5)-INDEX(Assumptions!$D$5:$D$8,$D5))*Assumptions!$B$11)/$E5</f>
        <v>21250</v>
      </c>
      <c r="G5" s="20" t="n">
        <f aca="false">(INDEX(Assumptions!$D$5:$D$8,$D5)+(INDEX(Assumptions!$E$5:$E$8,$D5)-INDEX(Assumptions!$D$5:$D$8,$D5))*Assumptions!$B$12)/$E5</f>
        <v>27500</v>
      </c>
      <c r="H5" s="20" t="n">
        <f aca="false">(INDEX(Assumptions!$D$5:$D$8,$D5)+(INDEX(Assumptions!$E$5:$E$8,$D5)-INDEX(Assumptions!$D$5:$D$8,$D5))*Assumptions!$B$13)/$E5</f>
        <v>33750</v>
      </c>
      <c r="I5" s="15" t="n">
        <f aca="false">SUM(F$5:F5)</f>
        <v>21250</v>
      </c>
      <c r="J5" s="15" t="n">
        <f aca="false">SUM(G$5:G5)</f>
        <v>27500</v>
      </c>
      <c r="K5" s="15" t="n">
        <f aca="false">SUM(H$5:H5)</f>
        <v>33750</v>
      </c>
    </row>
    <row r="6" customFormat="false" ht="15" hidden="false" customHeight="false" outlineLevel="0" collapsed="false">
      <c r="A6" s="8" t="s">
        <v>132</v>
      </c>
      <c r="B6" s="23" t="n">
        <v>3</v>
      </c>
      <c r="C6" s="24" t="n">
        <f aca="false">B6+3</f>
        <v>6</v>
      </c>
      <c r="D6" s="25" t="n">
        <f aca="false">MATCH(B6,Assumptions!$B$5:$B$8,1)</f>
        <v>1</v>
      </c>
      <c r="E6" s="25" t="n">
        <f aca="false">(INDEX(Assumptions!$C$5:$C$8,D6)-INDEX(Assumptions!$B$5:$B$8,D6))/3</f>
        <v>2</v>
      </c>
      <c r="F6" s="20" t="n">
        <f aca="false">(INDEX(Assumptions!$D$5:$D$8,$D6)+(INDEX(Assumptions!$E$5:$E$8,$D6)-INDEX(Assumptions!$D$5:$D$8,$D6))*Assumptions!$B$11)/$E6</f>
        <v>21250</v>
      </c>
      <c r="G6" s="20" t="n">
        <f aca="false">(INDEX(Assumptions!$D$5:$D$8,$D6)+(INDEX(Assumptions!$E$5:$E$8,$D6)-INDEX(Assumptions!$D$5:$D$8,$D6))*Assumptions!$B$12)/$E6</f>
        <v>27500</v>
      </c>
      <c r="H6" s="20" t="n">
        <f aca="false">(INDEX(Assumptions!$D$5:$D$8,$D6)+(INDEX(Assumptions!$E$5:$E$8,$D6)-INDEX(Assumptions!$D$5:$D$8,$D6))*Assumptions!$B$13)/$E6</f>
        <v>33750</v>
      </c>
      <c r="I6" s="15" t="n">
        <f aca="false">SUM(F$5:F6)</f>
        <v>42500</v>
      </c>
      <c r="J6" s="15" t="n">
        <f aca="false">SUM(G$5:G6)</f>
        <v>55000</v>
      </c>
      <c r="K6" s="15" t="n">
        <f aca="false">SUM(H$5:H6)</f>
        <v>67500</v>
      </c>
    </row>
    <row r="7" customFormat="false" ht="15" hidden="false" customHeight="false" outlineLevel="0" collapsed="false">
      <c r="A7" s="8" t="s">
        <v>133</v>
      </c>
      <c r="B7" s="23" t="n">
        <v>6</v>
      </c>
      <c r="C7" s="24" t="n">
        <f aca="false">B7+3</f>
        <v>9</v>
      </c>
      <c r="D7" s="25" t="n">
        <f aca="false">MATCH(B7,Assumptions!$B$5:$B$8,1)</f>
        <v>2</v>
      </c>
      <c r="E7" s="25" t="n">
        <f aca="false">(INDEX(Assumptions!$C$5:$C$8,D7)-INDEX(Assumptions!$B$5:$B$8,D7))/3</f>
        <v>4</v>
      </c>
      <c r="F7" s="20" t="n">
        <f aca="false">(INDEX(Assumptions!$D$5:$D$8,$D7)+(INDEX(Assumptions!$E$5:$E$8,$D7)-INDEX(Assumptions!$D$5:$D$8,$D7))*Assumptions!$B$11)/$E7</f>
        <v>42500</v>
      </c>
      <c r="G7" s="20" t="n">
        <f aca="false">(INDEX(Assumptions!$D$5:$D$8,$D7)+(INDEX(Assumptions!$E$5:$E$8,$D7)-INDEX(Assumptions!$D$5:$D$8,$D7))*Assumptions!$B$12)/$E7</f>
        <v>55000</v>
      </c>
      <c r="H7" s="20" t="n">
        <f aca="false">(INDEX(Assumptions!$D$5:$D$8,$D7)+(INDEX(Assumptions!$E$5:$E$8,$D7)-INDEX(Assumptions!$D$5:$D$8,$D7))*Assumptions!$B$13)/$E7</f>
        <v>67500</v>
      </c>
      <c r="I7" s="15" t="n">
        <f aca="false">SUM(F$5:F7)</f>
        <v>85000</v>
      </c>
      <c r="J7" s="15" t="n">
        <f aca="false">SUM(G$5:G7)</f>
        <v>110000</v>
      </c>
      <c r="K7" s="15" t="n">
        <f aca="false">SUM(H$5:H7)</f>
        <v>135000</v>
      </c>
    </row>
    <row r="8" customFormat="false" ht="15" hidden="false" customHeight="false" outlineLevel="0" collapsed="false">
      <c r="A8" s="8" t="s">
        <v>134</v>
      </c>
      <c r="B8" s="23" t="n">
        <v>9</v>
      </c>
      <c r="C8" s="24" t="n">
        <f aca="false">B8+3</f>
        <v>12</v>
      </c>
      <c r="D8" s="25" t="n">
        <f aca="false">MATCH(B8,Assumptions!$B$5:$B$8,1)</f>
        <v>2</v>
      </c>
      <c r="E8" s="25" t="n">
        <f aca="false">(INDEX(Assumptions!$C$5:$C$8,D8)-INDEX(Assumptions!$B$5:$B$8,D8))/3</f>
        <v>4</v>
      </c>
      <c r="F8" s="20" t="n">
        <f aca="false">(INDEX(Assumptions!$D$5:$D$8,$D8)+(INDEX(Assumptions!$E$5:$E$8,$D8)-INDEX(Assumptions!$D$5:$D$8,$D8))*Assumptions!$B$11)/$E8</f>
        <v>42500</v>
      </c>
      <c r="G8" s="20" t="n">
        <f aca="false">(INDEX(Assumptions!$D$5:$D$8,$D8)+(INDEX(Assumptions!$E$5:$E$8,$D8)-INDEX(Assumptions!$D$5:$D$8,$D8))*Assumptions!$B$12)/$E8</f>
        <v>55000</v>
      </c>
      <c r="H8" s="20" t="n">
        <f aca="false">(INDEX(Assumptions!$D$5:$D$8,$D8)+(INDEX(Assumptions!$E$5:$E$8,$D8)-INDEX(Assumptions!$D$5:$D$8,$D8))*Assumptions!$B$13)/$E8</f>
        <v>67500</v>
      </c>
      <c r="I8" s="15" t="n">
        <f aca="false">SUM(F$5:F8)</f>
        <v>127500</v>
      </c>
      <c r="J8" s="15" t="n">
        <f aca="false">SUM(G$5:G8)</f>
        <v>165000</v>
      </c>
      <c r="K8" s="15" t="n">
        <f aca="false">SUM(H$5:H8)</f>
        <v>202500</v>
      </c>
    </row>
    <row r="9" customFormat="false" ht="15" hidden="false" customHeight="false" outlineLevel="0" collapsed="false">
      <c r="A9" s="8" t="s">
        <v>135</v>
      </c>
      <c r="B9" s="23" t="n">
        <v>12</v>
      </c>
      <c r="C9" s="24" t="n">
        <f aca="false">B9+3</f>
        <v>15</v>
      </c>
      <c r="D9" s="25" t="n">
        <f aca="false">MATCH(B9,Assumptions!$B$5:$B$8,1)</f>
        <v>2</v>
      </c>
      <c r="E9" s="25" t="n">
        <f aca="false">(INDEX(Assumptions!$C$5:$C$8,D9)-INDEX(Assumptions!$B$5:$B$8,D9))/3</f>
        <v>4</v>
      </c>
      <c r="F9" s="20" t="n">
        <f aca="false">(INDEX(Assumptions!$D$5:$D$8,$D9)+(INDEX(Assumptions!$E$5:$E$8,$D9)-INDEX(Assumptions!$D$5:$D$8,$D9))*Assumptions!$B$11)/$E9</f>
        <v>42500</v>
      </c>
      <c r="G9" s="20" t="n">
        <f aca="false">(INDEX(Assumptions!$D$5:$D$8,$D9)+(INDEX(Assumptions!$E$5:$E$8,$D9)-INDEX(Assumptions!$D$5:$D$8,$D9))*Assumptions!$B$12)/$E9</f>
        <v>55000</v>
      </c>
      <c r="H9" s="20" t="n">
        <f aca="false">(INDEX(Assumptions!$D$5:$D$8,$D9)+(INDEX(Assumptions!$E$5:$E$8,$D9)-INDEX(Assumptions!$D$5:$D$8,$D9))*Assumptions!$B$13)/$E9</f>
        <v>67500</v>
      </c>
      <c r="I9" s="15" t="n">
        <f aca="false">SUM(F$5:F9)</f>
        <v>170000</v>
      </c>
      <c r="J9" s="15" t="n">
        <f aca="false">SUM(G$5:G9)</f>
        <v>220000</v>
      </c>
      <c r="K9" s="15" t="n">
        <f aca="false">SUM(H$5:H9)</f>
        <v>270000</v>
      </c>
    </row>
    <row r="10" customFormat="false" ht="15" hidden="false" customHeight="false" outlineLevel="0" collapsed="false">
      <c r="A10" s="8" t="s">
        <v>136</v>
      </c>
      <c r="B10" s="23" t="n">
        <v>15</v>
      </c>
      <c r="C10" s="24" t="n">
        <f aca="false">B10+3</f>
        <v>18</v>
      </c>
      <c r="D10" s="25" t="n">
        <f aca="false">MATCH(B10,Assumptions!$B$5:$B$8,1)</f>
        <v>2</v>
      </c>
      <c r="E10" s="25" t="n">
        <f aca="false">(INDEX(Assumptions!$C$5:$C$8,D10)-INDEX(Assumptions!$B$5:$B$8,D10))/3</f>
        <v>4</v>
      </c>
      <c r="F10" s="20" t="n">
        <f aca="false">(INDEX(Assumptions!$D$5:$D$8,$D10)+(INDEX(Assumptions!$E$5:$E$8,$D10)-INDEX(Assumptions!$D$5:$D$8,$D10))*Assumptions!$B$11)/$E10</f>
        <v>42500</v>
      </c>
      <c r="G10" s="20" t="n">
        <f aca="false">(INDEX(Assumptions!$D$5:$D$8,$D10)+(INDEX(Assumptions!$E$5:$E$8,$D10)-INDEX(Assumptions!$D$5:$D$8,$D10))*Assumptions!$B$12)/$E10</f>
        <v>55000</v>
      </c>
      <c r="H10" s="20" t="n">
        <f aca="false">(INDEX(Assumptions!$D$5:$D$8,$D10)+(INDEX(Assumptions!$E$5:$E$8,$D10)-INDEX(Assumptions!$D$5:$D$8,$D10))*Assumptions!$B$13)/$E10</f>
        <v>67500</v>
      </c>
      <c r="I10" s="15" t="n">
        <f aca="false">SUM(F$5:F10)</f>
        <v>212500</v>
      </c>
      <c r="J10" s="15" t="n">
        <f aca="false">SUM(G$5:G10)</f>
        <v>275000</v>
      </c>
      <c r="K10" s="15" t="n">
        <f aca="false">SUM(H$5:H10)</f>
        <v>337500</v>
      </c>
    </row>
    <row r="11" customFormat="false" ht="15" hidden="false" customHeight="false" outlineLevel="0" collapsed="false">
      <c r="A11" s="8" t="s">
        <v>137</v>
      </c>
      <c r="B11" s="23" t="n">
        <v>18</v>
      </c>
      <c r="C11" s="24" t="n">
        <f aca="false">B11+3</f>
        <v>21</v>
      </c>
      <c r="D11" s="25" t="n">
        <f aca="false">MATCH(B11,Assumptions!$B$5:$B$8,1)</f>
        <v>3</v>
      </c>
      <c r="E11" s="25" t="n">
        <f aca="false">(INDEX(Assumptions!$C$5:$C$8,D11)-INDEX(Assumptions!$B$5:$B$8,D11))/3</f>
        <v>4</v>
      </c>
      <c r="F11" s="20" t="n">
        <f aca="false">(INDEX(Assumptions!$D$5:$D$8,$D11)+(INDEX(Assumptions!$E$5:$E$8,$D11)-INDEX(Assumptions!$D$5:$D$8,$D11))*Assumptions!$B$11)/$E11</f>
        <v>136250</v>
      </c>
      <c r="G11" s="20" t="n">
        <f aca="false">(INDEX(Assumptions!$D$5:$D$8,$D11)+(INDEX(Assumptions!$E$5:$E$8,$D11)-INDEX(Assumptions!$D$5:$D$8,$D11))*Assumptions!$B$12)/$E11</f>
        <v>180000</v>
      </c>
      <c r="H11" s="20" t="n">
        <f aca="false">(INDEX(Assumptions!$D$5:$D$8,$D11)+(INDEX(Assumptions!$E$5:$E$8,$D11)-INDEX(Assumptions!$D$5:$D$8,$D11))*Assumptions!$B$13)/$E11</f>
        <v>223750</v>
      </c>
      <c r="I11" s="15" t="n">
        <f aca="false">SUM(F$5:F11)</f>
        <v>348750</v>
      </c>
      <c r="J11" s="15" t="n">
        <f aca="false">SUM(G$5:G11)</f>
        <v>455000</v>
      </c>
      <c r="K11" s="15" t="n">
        <f aca="false">SUM(H$5:H11)</f>
        <v>561250</v>
      </c>
    </row>
    <row r="12" customFormat="false" ht="15" hidden="false" customHeight="false" outlineLevel="0" collapsed="false">
      <c r="A12" s="8" t="s">
        <v>138</v>
      </c>
      <c r="B12" s="23" t="n">
        <v>21</v>
      </c>
      <c r="C12" s="24" t="n">
        <f aca="false">B12+3</f>
        <v>24</v>
      </c>
      <c r="D12" s="25" t="n">
        <f aca="false">MATCH(B12,Assumptions!$B$5:$B$8,1)</f>
        <v>3</v>
      </c>
      <c r="E12" s="25" t="n">
        <f aca="false">(INDEX(Assumptions!$C$5:$C$8,D12)-INDEX(Assumptions!$B$5:$B$8,D12))/3</f>
        <v>4</v>
      </c>
      <c r="F12" s="20" t="n">
        <f aca="false">(INDEX(Assumptions!$D$5:$D$8,$D12)+(INDEX(Assumptions!$E$5:$E$8,$D12)-INDEX(Assumptions!$D$5:$D$8,$D12))*Assumptions!$B$11)/$E12</f>
        <v>136250</v>
      </c>
      <c r="G12" s="20" t="n">
        <f aca="false">(INDEX(Assumptions!$D$5:$D$8,$D12)+(INDEX(Assumptions!$E$5:$E$8,$D12)-INDEX(Assumptions!$D$5:$D$8,$D12))*Assumptions!$B$12)/$E12</f>
        <v>180000</v>
      </c>
      <c r="H12" s="20" t="n">
        <f aca="false">(INDEX(Assumptions!$D$5:$D$8,$D12)+(INDEX(Assumptions!$E$5:$E$8,$D12)-INDEX(Assumptions!$D$5:$D$8,$D12))*Assumptions!$B$13)/$E12</f>
        <v>223750</v>
      </c>
      <c r="I12" s="15" t="n">
        <f aca="false">SUM(F$5:F12)</f>
        <v>485000</v>
      </c>
      <c r="J12" s="15" t="n">
        <f aca="false">SUM(G$5:G12)</f>
        <v>635000</v>
      </c>
      <c r="K12" s="15" t="n">
        <f aca="false">SUM(H$5:H12)</f>
        <v>785000</v>
      </c>
    </row>
    <row r="13" customFormat="false" ht="15" hidden="false" customHeight="false" outlineLevel="0" collapsed="false">
      <c r="A13" s="8" t="s">
        <v>139</v>
      </c>
      <c r="B13" s="23" t="n">
        <v>24</v>
      </c>
      <c r="C13" s="24" t="n">
        <f aca="false">B13+3</f>
        <v>27</v>
      </c>
      <c r="D13" s="25" t="n">
        <f aca="false">MATCH(B13,Assumptions!$B$5:$B$8,1)</f>
        <v>3</v>
      </c>
      <c r="E13" s="25" t="n">
        <f aca="false">(INDEX(Assumptions!$C$5:$C$8,D13)-INDEX(Assumptions!$B$5:$B$8,D13))/3</f>
        <v>4</v>
      </c>
      <c r="F13" s="20" t="n">
        <f aca="false">(INDEX(Assumptions!$D$5:$D$8,$D13)+(INDEX(Assumptions!$E$5:$E$8,$D13)-INDEX(Assumptions!$D$5:$D$8,$D13))*Assumptions!$B$11)/$E13</f>
        <v>136250</v>
      </c>
      <c r="G13" s="20" t="n">
        <f aca="false">(INDEX(Assumptions!$D$5:$D$8,$D13)+(INDEX(Assumptions!$E$5:$E$8,$D13)-INDEX(Assumptions!$D$5:$D$8,$D13))*Assumptions!$B$12)/$E13</f>
        <v>180000</v>
      </c>
      <c r="H13" s="20" t="n">
        <f aca="false">(INDEX(Assumptions!$D$5:$D$8,$D13)+(INDEX(Assumptions!$E$5:$E$8,$D13)-INDEX(Assumptions!$D$5:$D$8,$D13))*Assumptions!$B$13)/$E13</f>
        <v>223750</v>
      </c>
      <c r="I13" s="15" t="n">
        <f aca="false">SUM(F$5:F13)</f>
        <v>621250</v>
      </c>
      <c r="J13" s="15" t="n">
        <f aca="false">SUM(G$5:G13)</f>
        <v>815000</v>
      </c>
      <c r="K13" s="15" t="n">
        <f aca="false">SUM(H$5:H13)</f>
        <v>1008750</v>
      </c>
    </row>
    <row r="14" customFormat="false" ht="15" hidden="false" customHeight="false" outlineLevel="0" collapsed="false">
      <c r="A14" s="8" t="s">
        <v>140</v>
      </c>
      <c r="B14" s="23" t="n">
        <v>27</v>
      </c>
      <c r="C14" s="24" t="n">
        <f aca="false">B14+3</f>
        <v>30</v>
      </c>
      <c r="D14" s="25" t="n">
        <f aca="false">MATCH(B14,Assumptions!$B$5:$B$8,1)</f>
        <v>3</v>
      </c>
      <c r="E14" s="25" t="n">
        <f aca="false">(INDEX(Assumptions!$C$5:$C$8,D14)-INDEX(Assumptions!$B$5:$B$8,D14))/3</f>
        <v>4</v>
      </c>
      <c r="F14" s="20" t="n">
        <f aca="false">(INDEX(Assumptions!$D$5:$D$8,$D14)+(INDEX(Assumptions!$E$5:$E$8,$D14)-INDEX(Assumptions!$D$5:$D$8,$D14))*Assumptions!$B$11)/$E14</f>
        <v>136250</v>
      </c>
      <c r="G14" s="20" t="n">
        <f aca="false">(INDEX(Assumptions!$D$5:$D$8,$D14)+(INDEX(Assumptions!$E$5:$E$8,$D14)-INDEX(Assumptions!$D$5:$D$8,$D14))*Assumptions!$B$12)/$E14</f>
        <v>180000</v>
      </c>
      <c r="H14" s="20" t="n">
        <f aca="false">(INDEX(Assumptions!$D$5:$D$8,$D14)+(INDEX(Assumptions!$E$5:$E$8,$D14)-INDEX(Assumptions!$D$5:$D$8,$D14))*Assumptions!$B$13)/$E14</f>
        <v>223750</v>
      </c>
      <c r="I14" s="15" t="n">
        <f aca="false">SUM(F$5:F14)</f>
        <v>757500</v>
      </c>
      <c r="J14" s="15" t="n">
        <f aca="false">SUM(G$5:G14)</f>
        <v>995000</v>
      </c>
      <c r="K14" s="15" t="n">
        <f aca="false">SUM(H$5:H14)</f>
        <v>1232500</v>
      </c>
    </row>
    <row r="15" customFormat="false" ht="15" hidden="false" customHeight="false" outlineLevel="0" collapsed="false">
      <c r="A15" s="8" t="s">
        <v>141</v>
      </c>
      <c r="B15" s="23" t="n">
        <v>30</v>
      </c>
      <c r="C15" s="24" t="n">
        <f aca="false">B15+3</f>
        <v>33</v>
      </c>
      <c r="D15" s="25" t="n">
        <f aca="false">MATCH(B15,Assumptions!$B$5:$B$8,1)</f>
        <v>4</v>
      </c>
      <c r="E15" s="25" t="n">
        <f aca="false">(INDEX(Assumptions!$C$5:$C$8,D15)-INDEX(Assumptions!$B$5:$B$8,D15))/3</f>
        <v>6</v>
      </c>
      <c r="F15" s="20" t="n">
        <f aca="false">(INDEX(Assumptions!$D$5:$D$8,$D15)+(INDEX(Assumptions!$E$5:$E$8,$D15)-INDEX(Assumptions!$D$5:$D$8,$D15))*Assumptions!$B$11)/$E15</f>
        <v>283333.333333333</v>
      </c>
      <c r="G15" s="20" t="n">
        <f aca="false">(INDEX(Assumptions!$D$5:$D$8,$D15)+(INDEX(Assumptions!$E$5:$E$8,$D15)-INDEX(Assumptions!$D$5:$D$8,$D15))*Assumptions!$B$12)/$E15</f>
        <v>366666.666666667</v>
      </c>
      <c r="H15" s="20" t="n">
        <f aca="false">(INDEX(Assumptions!$D$5:$D$8,$D15)+(INDEX(Assumptions!$E$5:$E$8,$D15)-INDEX(Assumptions!$D$5:$D$8,$D15))*Assumptions!$B$13)/$E15</f>
        <v>450000</v>
      </c>
      <c r="I15" s="15" t="n">
        <f aca="false">SUM(F$5:F15)</f>
        <v>1040833.33333333</v>
      </c>
      <c r="J15" s="15" t="n">
        <f aca="false">SUM(G$5:G15)</f>
        <v>1361666.66666667</v>
      </c>
      <c r="K15" s="15" t="n">
        <f aca="false">SUM(H$5:H15)</f>
        <v>1682500</v>
      </c>
    </row>
    <row r="16" customFormat="false" ht="15" hidden="false" customHeight="false" outlineLevel="0" collapsed="false">
      <c r="A16" s="8" t="s">
        <v>142</v>
      </c>
      <c r="B16" s="23" t="n">
        <v>33</v>
      </c>
      <c r="C16" s="24" t="n">
        <f aca="false">B16+3</f>
        <v>36</v>
      </c>
      <c r="D16" s="25" t="n">
        <f aca="false">MATCH(B16,Assumptions!$B$5:$B$8,1)</f>
        <v>4</v>
      </c>
      <c r="E16" s="25" t="n">
        <f aca="false">(INDEX(Assumptions!$C$5:$C$8,D16)-INDEX(Assumptions!$B$5:$B$8,D16))/3</f>
        <v>6</v>
      </c>
      <c r="F16" s="20" t="n">
        <f aca="false">(INDEX(Assumptions!$D$5:$D$8,$D16)+(INDEX(Assumptions!$E$5:$E$8,$D16)-INDEX(Assumptions!$D$5:$D$8,$D16))*Assumptions!$B$11)/$E16</f>
        <v>283333.333333333</v>
      </c>
      <c r="G16" s="20" t="n">
        <f aca="false">(INDEX(Assumptions!$D$5:$D$8,$D16)+(INDEX(Assumptions!$E$5:$E$8,$D16)-INDEX(Assumptions!$D$5:$D$8,$D16))*Assumptions!$B$12)/$E16</f>
        <v>366666.666666667</v>
      </c>
      <c r="H16" s="20" t="n">
        <f aca="false">(INDEX(Assumptions!$D$5:$D$8,$D16)+(INDEX(Assumptions!$E$5:$E$8,$D16)-INDEX(Assumptions!$D$5:$D$8,$D16))*Assumptions!$B$13)/$E16</f>
        <v>450000</v>
      </c>
      <c r="I16" s="15" t="n">
        <f aca="false">SUM(F$5:F16)</f>
        <v>1324166.66666667</v>
      </c>
      <c r="J16" s="15" t="n">
        <f aca="false">SUM(G$5:G16)</f>
        <v>1728333.33333333</v>
      </c>
      <c r="K16" s="15" t="n">
        <f aca="false">SUM(H$5:H16)</f>
        <v>2132500</v>
      </c>
    </row>
    <row r="17" customFormat="false" ht="15" hidden="false" customHeight="false" outlineLevel="0" collapsed="false">
      <c r="A17" s="8" t="s">
        <v>143</v>
      </c>
      <c r="B17" s="23" t="n">
        <v>36</v>
      </c>
      <c r="C17" s="24" t="n">
        <f aca="false">B17+3</f>
        <v>39</v>
      </c>
      <c r="D17" s="25" t="n">
        <f aca="false">MATCH(B17,Assumptions!$B$5:$B$8,1)</f>
        <v>4</v>
      </c>
      <c r="E17" s="25" t="n">
        <f aca="false">(INDEX(Assumptions!$C$5:$C$8,D17)-INDEX(Assumptions!$B$5:$B$8,D17))/3</f>
        <v>6</v>
      </c>
      <c r="F17" s="20" t="n">
        <f aca="false">(INDEX(Assumptions!$D$5:$D$8,$D17)+(INDEX(Assumptions!$E$5:$E$8,$D17)-INDEX(Assumptions!$D$5:$D$8,$D17))*Assumptions!$B$11)/$E17</f>
        <v>283333.333333333</v>
      </c>
      <c r="G17" s="20" t="n">
        <f aca="false">(INDEX(Assumptions!$D$5:$D$8,$D17)+(INDEX(Assumptions!$E$5:$E$8,$D17)-INDEX(Assumptions!$D$5:$D$8,$D17))*Assumptions!$B$12)/$E17</f>
        <v>366666.666666667</v>
      </c>
      <c r="H17" s="20" t="n">
        <f aca="false">(INDEX(Assumptions!$D$5:$D$8,$D17)+(INDEX(Assumptions!$E$5:$E$8,$D17)-INDEX(Assumptions!$D$5:$D$8,$D17))*Assumptions!$B$13)/$E17</f>
        <v>450000</v>
      </c>
      <c r="I17" s="15" t="n">
        <f aca="false">SUM(F$5:F17)</f>
        <v>1607500</v>
      </c>
      <c r="J17" s="15" t="n">
        <f aca="false">SUM(G$5:G17)</f>
        <v>2095000</v>
      </c>
      <c r="K17" s="15" t="n">
        <f aca="false">SUM(H$5:H17)</f>
        <v>2582500</v>
      </c>
    </row>
    <row r="18" customFormat="false" ht="15" hidden="false" customHeight="false" outlineLevel="0" collapsed="false">
      <c r="A18" s="8" t="s">
        <v>144</v>
      </c>
      <c r="B18" s="23" t="n">
        <v>39</v>
      </c>
      <c r="C18" s="24" t="n">
        <f aca="false">B18+3</f>
        <v>42</v>
      </c>
      <c r="D18" s="25" t="n">
        <f aca="false">MATCH(B18,Assumptions!$B$5:$B$8,1)</f>
        <v>4</v>
      </c>
      <c r="E18" s="25" t="n">
        <f aca="false">(INDEX(Assumptions!$C$5:$C$8,D18)-INDEX(Assumptions!$B$5:$B$8,D18))/3</f>
        <v>6</v>
      </c>
      <c r="F18" s="20" t="n">
        <f aca="false">(INDEX(Assumptions!$D$5:$D$8,$D18)+(INDEX(Assumptions!$E$5:$E$8,$D18)-INDEX(Assumptions!$D$5:$D$8,$D18))*Assumptions!$B$11)/$E18</f>
        <v>283333.333333333</v>
      </c>
      <c r="G18" s="20" t="n">
        <f aca="false">(INDEX(Assumptions!$D$5:$D$8,$D18)+(INDEX(Assumptions!$E$5:$E$8,$D18)-INDEX(Assumptions!$D$5:$D$8,$D18))*Assumptions!$B$12)/$E18</f>
        <v>366666.666666667</v>
      </c>
      <c r="H18" s="20" t="n">
        <f aca="false">(INDEX(Assumptions!$D$5:$D$8,$D18)+(INDEX(Assumptions!$E$5:$E$8,$D18)-INDEX(Assumptions!$D$5:$D$8,$D18))*Assumptions!$B$13)/$E18</f>
        <v>450000</v>
      </c>
      <c r="I18" s="15" t="n">
        <f aca="false">SUM(F$5:F18)</f>
        <v>1890833.33333333</v>
      </c>
      <c r="J18" s="15" t="n">
        <f aca="false">SUM(G$5:G18)</f>
        <v>2461666.66666667</v>
      </c>
      <c r="K18" s="15" t="n">
        <f aca="false">SUM(H$5:H18)</f>
        <v>3032500</v>
      </c>
    </row>
    <row r="19" customFormat="false" ht="15" hidden="false" customHeight="false" outlineLevel="0" collapsed="false">
      <c r="A19" s="8" t="s">
        <v>145</v>
      </c>
      <c r="B19" s="23" t="n">
        <v>42</v>
      </c>
      <c r="C19" s="24" t="n">
        <f aca="false">B19+3</f>
        <v>45</v>
      </c>
      <c r="D19" s="25" t="n">
        <f aca="false">MATCH(B19,Assumptions!$B$5:$B$8,1)</f>
        <v>4</v>
      </c>
      <c r="E19" s="25" t="n">
        <f aca="false">(INDEX(Assumptions!$C$5:$C$8,D19)-INDEX(Assumptions!$B$5:$B$8,D19))/3</f>
        <v>6</v>
      </c>
      <c r="F19" s="20" t="n">
        <f aca="false">(INDEX(Assumptions!$D$5:$D$8,$D19)+(INDEX(Assumptions!$E$5:$E$8,$D19)-INDEX(Assumptions!$D$5:$D$8,$D19))*Assumptions!$B$11)/$E19</f>
        <v>283333.333333333</v>
      </c>
      <c r="G19" s="20" t="n">
        <f aca="false">(INDEX(Assumptions!$D$5:$D$8,$D19)+(INDEX(Assumptions!$E$5:$E$8,$D19)-INDEX(Assumptions!$D$5:$D$8,$D19))*Assumptions!$B$12)/$E19</f>
        <v>366666.666666667</v>
      </c>
      <c r="H19" s="20" t="n">
        <f aca="false">(INDEX(Assumptions!$D$5:$D$8,$D19)+(INDEX(Assumptions!$E$5:$E$8,$D19)-INDEX(Assumptions!$D$5:$D$8,$D19))*Assumptions!$B$13)/$E19</f>
        <v>450000</v>
      </c>
      <c r="I19" s="15" t="n">
        <f aca="false">SUM(F$5:F19)</f>
        <v>2174166.66666667</v>
      </c>
      <c r="J19" s="15" t="n">
        <f aca="false">SUM(G$5:G19)</f>
        <v>2828333.33333333</v>
      </c>
      <c r="K19" s="15" t="n">
        <f aca="false">SUM(H$5:H19)</f>
        <v>3482500</v>
      </c>
    </row>
    <row r="20" customFormat="false" ht="15" hidden="false" customHeight="false" outlineLevel="0" collapsed="false">
      <c r="A20" s="8" t="s">
        <v>146</v>
      </c>
      <c r="B20" s="23" t="n">
        <v>45</v>
      </c>
      <c r="C20" s="24" t="n">
        <f aca="false">B20+3</f>
        <v>48</v>
      </c>
      <c r="D20" s="25" t="n">
        <f aca="false">MATCH(B20,Assumptions!$B$5:$B$8,1)</f>
        <v>4</v>
      </c>
      <c r="E20" s="25" t="n">
        <f aca="false">(INDEX(Assumptions!$C$5:$C$8,D20)-INDEX(Assumptions!$B$5:$B$8,D20))/3</f>
        <v>6</v>
      </c>
      <c r="F20" s="20" t="n">
        <f aca="false">(INDEX(Assumptions!$D$5:$D$8,$D20)+(INDEX(Assumptions!$E$5:$E$8,$D20)-INDEX(Assumptions!$D$5:$D$8,$D20))*Assumptions!$B$11)/$E20</f>
        <v>283333.333333333</v>
      </c>
      <c r="G20" s="20" t="n">
        <f aca="false">(INDEX(Assumptions!$D$5:$D$8,$D20)+(INDEX(Assumptions!$E$5:$E$8,$D20)-INDEX(Assumptions!$D$5:$D$8,$D20))*Assumptions!$B$12)/$E20</f>
        <v>366666.666666667</v>
      </c>
      <c r="H20" s="20" t="n">
        <f aca="false">(INDEX(Assumptions!$D$5:$D$8,$D20)+(INDEX(Assumptions!$E$5:$E$8,$D20)-INDEX(Assumptions!$D$5:$D$8,$D20))*Assumptions!$B$13)/$E20</f>
        <v>450000</v>
      </c>
      <c r="I20" s="15" t="n">
        <f aca="false">SUM(F$5:F20)</f>
        <v>2457500</v>
      </c>
      <c r="J20" s="15" t="n">
        <f aca="false">SUM(G$5:G20)</f>
        <v>3195000</v>
      </c>
      <c r="K20" s="15" t="n">
        <f aca="false">SUM(H$5:H20)</f>
        <v>3932500</v>
      </c>
    </row>
    <row r="21" customFormat="false" ht="15" hidden="false" customHeight="false" outlineLevel="0" collapsed="false">
      <c r="A21" s="8" t="s">
        <v>117</v>
      </c>
      <c r="F21" s="17" t="n">
        <f aca="false">SUM(F5:F20)</f>
        <v>2457500</v>
      </c>
      <c r="G21" s="17" t="n">
        <f aca="false">SUM(G5:G20)</f>
        <v>3195000</v>
      </c>
      <c r="H21" s="17" t="n">
        <f aca="false">SUM(H5:H20)</f>
        <v>3932500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62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86"/>
  </cols>
  <sheetData>
    <row r="1" customFormat="false" ht="17.35" hidden="false" customHeight="false" outlineLevel="0" collapsed="false">
      <c r="A1" s="5" t="s">
        <v>147</v>
      </c>
    </row>
    <row r="2" customFormat="false" ht="15" hidden="false" customHeight="false" outlineLevel="0" collapsed="false">
      <c r="A2" s="6" t="s">
        <v>148</v>
      </c>
    </row>
    <row r="4" customFormat="false" ht="23.85" hidden="false" customHeight="false" outlineLevel="0" collapsed="false">
      <c r="A4" s="7" t="s">
        <v>31</v>
      </c>
      <c r="B4" s="7" t="s">
        <v>149</v>
      </c>
      <c r="C4" s="7" t="s">
        <v>150</v>
      </c>
      <c r="D4" s="7" t="s">
        <v>151</v>
      </c>
      <c r="E4" s="7" t="s">
        <v>152</v>
      </c>
      <c r="F4" s="7" t="s">
        <v>153</v>
      </c>
      <c r="G4" s="7" t="s">
        <v>154</v>
      </c>
    </row>
    <row r="5" customFormat="false" ht="15" hidden="false" customHeight="false" outlineLevel="0" collapsed="false">
      <c r="A5" s="26" t="s">
        <v>155</v>
      </c>
      <c r="B5" s="23" t="n">
        <v>18</v>
      </c>
      <c r="C5" s="23" t="n">
        <v>36</v>
      </c>
      <c r="D5" s="23" t="n">
        <v>48</v>
      </c>
    </row>
    <row r="6" customFormat="false" ht="63.75" hidden="false" customHeight="true" outlineLevel="0" collapsed="false">
      <c r="A6" s="8" t="s">
        <v>34</v>
      </c>
      <c r="B6" s="20" t="n">
        <f aca="false">SUMIFS(Roadmap_Budget!$F$5:$F$20,Roadmap_Budget!$C$5:$C$20,"&lt;="&amp;B$5)</f>
        <v>212500</v>
      </c>
      <c r="C6" s="20" t="n">
        <f aca="false">SUMIFS(Roadmap_Budget!$F$5:$F$20,Roadmap_Budget!$C$5:$C$20,"&lt;="&amp;C$5)</f>
        <v>1324166.66666667</v>
      </c>
      <c r="D6" s="20" t="n">
        <f aca="false">SUMIFS(Roadmap_Budget!$F$5:$F$20,Roadmap_Budget!$C$5:$C$20,"&lt;="&amp;D$5)</f>
        <v>2457500</v>
      </c>
      <c r="E6" s="10" t="n">
        <v>0</v>
      </c>
      <c r="F6" s="15" t="n">
        <f aca="false">C6-E6</f>
        <v>1324166.66666667</v>
      </c>
      <c r="G6" s="11" t="s">
        <v>156</v>
      </c>
    </row>
    <row r="7" customFormat="false" ht="63.75" hidden="false" customHeight="true" outlineLevel="0" collapsed="false">
      <c r="A7" s="8" t="s">
        <v>36</v>
      </c>
      <c r="B7" s="20" t="n">
        <f aca="false">SUMIFS(Roadmap_Budget!$G$5:$G$20,Roadmap_Budget!$C$5:$C$20,"&lt;="&amp;B$5)</f>
        <v>275000</v>
      </c>
      <c r="C7" s="20" t="n">
        <f aca="false">SUMIFS(Roadmap_Budget!$G$5:$G$20,Roadmap_Budget!$C$5:$C$20,"&lt;="&amp;C$5)</f>
        <v>1728333.33333333</v>
      </c>
      <c r="D7" s="20" t="n">
        <f aca="false">SUMIFS(Roadmap_Budget!$G$5:$G$20,Roadmap_Budget!$C$5:$C$20,"&lt;="&amp;D$5)</f>
        <v>3195000</v>
      </c>
      <c r="E7" s="10" t="n">
        <v>0</v>
      </c>
      <c r="F7" s="15" t="n">
        <f aca="false">C7-E7</f>
        <v>1728333.33333333</v>
      </c>
      <c r="G7" s="11" t="s">
        <v>157</v>
      </c>
    </row>
    <row r="8" customFormat="false" ht="63.75" hidden="false" customHeight="true" outlineLevel="0" collapsed="false">
      <c r="A8" s="8" t="s">
        <v>38</v>
      </c>
      <c r="B8" s="20" t="n">
        <f aca="false">SUMIFS(Roadmap_Budget!$H$5:$H$20,Roadmap_Budget!$C$5:$C$20,"&lt;="&amp;B$5)</f>
        <v>337500</v>
      </c>
      <c r="C8" s="20" t="n">
        <f aca="false">SUMIFS(Roadmap_Budget!$H$5:$H$20,Roadmap_Budget!$C$5:$C$20,"&lt;="&amp;C$5)</f>
        <v>2132500</v>
      </c>
      <c r="D8" s="20" t="n">
        <f aca="false">SUMIFS(Roadmap_Budget!$H$5:$H$20,Roadmap_Budget!$C$5:$C$20,"&lt;="&amp;D$5)</f>
        <v>3932500</v>
      </c>
      <c r="E8" s="10" t="n">
        <v>0</v>
      </c>
      <c r="F8" s="15" t="n">
        <f aca="false">C8-E8</f>
        <v>2132500</v>
      </c>
      <c r="G8" s="11" t="s">
        <v>158</v>
      </c>
    </row>
    <row r="10" customFormat="false" ht="36" hidden="false" customHeight="true" outlineLevel="0" collapsed="false">
      <c r="A10" s="8" t="s">
        <v>159</v>
      </c>
      <c r="B10" s="11" t="s">
        <v>160</v>
      </c>
      <c r="C10" s="11"/>
      <c r="D10" s="11"/>
      <c r="E10" s="11"/>
      <c r="F10" s="11"/>
      <c r="G10" s="11"/>
    </row>
  </sheetData>
  <mergeCells count="1">
    <mergeCell ref="B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62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5" t="s">
        <v>161</v>
      </c>
    </row>
    <row r="2" customFormat="false" ht="15" hidden="false" customHeight="false" outlineLevel="0" collapsed="false">
      <c r="A2" s="6" t="s">
        <v>162</v>
      </c>
    </row>
    <row r="4" customFormat="false" ht="23.85" hidden="false" customHeight="false" outlineLevel="0" collapsed="false">
      <c r="A4" s="7" t="s">
        <v>163</v>
      </c>
      <c r="B4" s="7" t="s">
        <v>164</v>
      </c>
      <c r="C4" s="7" t="s">
        <v>165</v>
      </c>
      <c r="D4" s="7" t="s">
        <v>166</v>
      </c>
      <c r="E4" s="7" t="s">
        <v>167</v>
      </c>
      <c r="F4" s="7" t="s">
        <v>168</v>
      </c>
      <c r="G4" s="7" t="s">
        <v>169</v>
      </c>
      <c r="H4" s="7" t="s">
        <v>170</v>
      </c>
      <c r="I4" s="7" t="s">
        <v>171</v>
      </c>
      <c r="J4" s="7" t="s">
        <v>172</v>
      </c>
    </row>
    <row r="5" customFormat="false" ht="48" hidden="false" customHeight="true" outlineLevel="0" collapsed="false">
      <c r="A5" s="11" t="s">
        <v>173</v>
      </c>
      <c r="B5" s="11" t="s">
        <v>174</v>
      </c>
      <c r="C5" s="9" t="s">
        <v>175</v>
      </c>
      <c r="D5" s="27" t="n">
        <v>0.8</v>
      </c>
      <c r="E5" s="9" t="s">
        <v>176</v>
      </c>
      <c r="F5" s="27" t="n">
        <v>5.04</v>
      </c>
      <c r="G5" s="24" t="n">
        <f aca="false">VALUE(E5)-VALUE(C5)</f>
        <v>9</v>
      </c>
      <c r="H5" s="28" t="n">
        <f aca="false">IF(AND(D5&gt;0,G5&gt;0),(F5/D5)^(1/G5)-1,0)</f>
        <v>0.226918222062635</v>
      </c>
      <c r="I5" s="11" t="s">
        <v>177</v>
      </c>
      <c r="J5" s="11" t="s">
        <v>178</v>
      </c>
    </row>
    <row r="6" customFormat="false" ht="48" hidden="false" customHeight="true" outlineLevel="0" collapsed="false">
      <c r="A6" s="11" t="s">
        <v>173</v>
      </c>
      <c r="B6" s="11" t="s">
        <v>179</v>
      </c>
      <c r="C6" s="9" t="s">
        <v>180</v>
      </c>
      <c r="D6" s="27" t="n">
        <v>1.1857</v>
      </c>
      <c r="E6" s="9" t="s">
        <v>176</v>
      </c>
      <c r="F6" s="27" t="n">
        <v>8.5445</v>
      </c>
      <c r="G6" s="24" t="n">
        <f aca="false">VALUE(E6)-VALUE(C6)</f>
        <v>10</v>
      </c>
      <c r="H6" s="28" t="n">
        <f aca="false">IF(AND(D6&gt;0,G6&gt;0),(F6/D6)^(1/G6)-1,0)</f>
        <v>0.21834751948051</v>
      </c>
      <c r="I6" s="11" t="s">
        <v>177</v>
      </c>
      <c r="J6" s="11" t="s">
        <v>181</v>
      </c>
    </row>
    <row r="7" customFormat="false" ht="48" hidden="false" customHeight="true" outlineLevel="0" collapsed="false">
      <c r="A7" s="11" t="s">
        <v>182</v>
      </c>
      <c r="B7" s="11" t="s">
        <v>183</v>
      </c>
      <c r="C7" s="9" t="s">
        <v>175</v>
      </c>
      <c r="D7" s="27" t="n">
        <v>4.21</v>
      </c>
      <c r="E7" s="9" t="s">
        <v>176</v>
      </c>
      <c r="F7" s="27" t="n">
        <v>20.3</v>
      </c>
      <c r="G7" s="24" t="n">
        <f aca="false">VALUE(E7)-VALUE(C7)</f>
        <v>9</v>
      </c>
      <c r="H7" s="28" t="n">
        <f aca="false">IF(AND(D7&gt;0,G7&gt;0),(F7/D7)^(1/G7)-1,0)</f>
        <v>0.19100246471022</v>
      </c>
      <c r="I7" s="11" t="s">
        <v>177</v>
      </c>
      <c r="J7" s="11" t="s">
        <v>184</v>
      </c>
    </row>
    <row r="8" customFormat="false" ht="48" hidden="false" customHeight="true" outlineLevel="0" collapsed="false">
      <c r="A8" s="11" t="s">
        <v>182</v>
      </c>
      <c r="B8" s="11" t="s">
        <v>185</v>
      </c>
      <c r="C8" s="9" t="s">
        <v>180</v>
      </c>
      <c r="D8" s="27" t="n">
        <v>5.3</v>
      </c>
      <c r="E8" s="9" t="s">
        <v>176</v>
      </c>
      <c r="F8" s="27" t="n">
        <v>34</v>
      </c>
      <c r="G8" s="24" t="n">
        <f aca="false">VALUE(E8)-VALUE(C8)</f>
        <v>10</v>
      </c>
      <c r="H8" s="28" t="n">
        <f aca="false">IF(AND(D8&gt;0,G8&gt;0),(F8/D8)^(1/G8)-1,0)</f>
        <v>0.204260120412144</v>
      </c>
      <c r="I8" s="11" t="s">
        <v>177</v>
      </c>
      <c r="J8" s="11" t="s">
        <v>186</v>
      </c>
    </row>
    <row r="9" customFormat="false" ht="48" hidden="false" customHeight="true" outlineLevel="0" collapsed="false">
      <c r="A9" s="11" t="s">
        <v>187</v>
      </c>
      <c r="B9" s="11" t="s">
        <v>188</v>
      </c>
      <c r="C9" s="9" t="s">
        <v>189</v>
      </c>
      <c r="D9" s="27" t="n">
        <v>1.14</v>
      </c>
      <c r="E9" s="9" t="s">
        <v>190</v>
      </c>
      <c r="F9" s="27" t="n">
        <v>1.91</v>
      </c>
      <c r="G9" s="24" t="n">
        <f aca="false">VALUE(E9)-VALUE(C9)</f>
        <v>29</v>
      </c>
      <c r="H9" s="28" t="n">
        <f aca="false">IF(AND(D9&gt;0,G9&gt;0),(F9/D9)^(1/G9)-1,0)</f>
        <v>0.0179549756957456</v>
      </c>
      <c r="I9" s="11" t="s">
        <v>191</v>
      </c>
      <c r="J9" s="11" t="s">
        <v>192</v>
      </c>
    </row>
    <row r="11" customFormat="false" ht="15" hidden="false" customHeight="false" outlineLevel="0" collapsed="false">
      <c r="A11" s="8" t="s">
        <v>193</v>
      </c>
      <c r="B11" s="29" t="n">
        <f aca="false">MIN(F5:F6)</f>
        <v>5.04</v>
      </c>
      <c r="C11" s="16" t="s">
        <v>194</v>
      </c>
      <c r="D11" s="29" t="n">
        <f aca="false">MAX(F5:F6)</f>
        <v>8.5445</v>
      </c>
    </row>
    <row r="12" customFormat="false" ht="15" hidden="false" customHeight="false" outlineLevel="0" collapsed="false">
      <c r="A12" s="8" t="s">
        <v>195</v>
      </c>
      <c r="B12" s="29" t="n">
        <f aca="false">MIN(F7:F8)</f>
        <v>20.3</v>
      </c>
      <c r="C12" s="16" t="s">
        <v>194</v>
      </c>
      <c r="D12" s="29" t="n">
        <f aca="false">MAX(F7:F8)</f>
        <v>34</v>
      </c>
      <c r="J12" s="11" t="s">
        <v>196</v>
      </c>
    </row>
    <row r="14" customFormat="false" ht="15" hidden="false" customHeight="false" outlineLevel="0" collapsed="false">
      <c r="A14" s="7" t="s">
        <v>197</v>
      </c>
      <c r="B14" s="7" t="s">
        <v>164</v>
      </c>
      <c r="C14" s="7" t="s">
        <v>198</v>
      </c>
      <c r="D14" s="7" t="s">
        <v>199</v>
      </c>
      <c r="E14" s="7"/>
      <c r="F14" s="7"/>
      <c r="G14" s="7"/>
      <c r="H14" s="7"/>
      <c r="I14" s="7" t="s">
        <v>171</v>
      </c>
      <c r="J14" s="7" t="s">
        <v>172</v>
      </c>
    </row>
    <row r="15" customFormat="false" ht="43.5" hidden="false" customHeight="true" outlineLevel="0" collapsed="false">
      <c r="A15" s="11" t="s">
        <v>200</v>
      </c>
      <c r="B15" s="11" t="s">
        <v>201</v>
      </c>
      <c r="C15" s="9" t="s">
        <v>202</v>
      </c>
      <c r="D15" s="30" t="n">
        <v>37.5</v>
      </c>
      <c r="I15" s="11" t="s">
        <v>203</v>
      </c>
      <c r="J15" s="11" t="s">
        <v>204</v>
      </c>
    </row>
    <row r="16" customFormat="false" ht="43.5" hidden="false" customHeight="true" outlineLevel="0" collapsed="false">
      <c r="A16" s="11" t="s">
        <v>205</v>
      </c>
      <c r="B16" s="11" t="s">
        <v>206</v>
      </c>
      <c r="C16" s="9" t="s">
        <v>207</v>
      </c>
      <c r="D16" s="30" t="n">
        <v>120</v>
      </c>
      <c r="I16" s="11" t="s">
        <v>208</v>
      </c>
      <c r="J16" s="11" t="s">
        <v>209</v>
      </c>
    </row>
    <row r="17" customFormat="false" ht="43.5" hidden="false" customHeight="true" outlineLevel="0" collapsed="false">
      <c r="A17" s="11" t="s">
        <v>210</v>
      </c>
      <c r="B17" s="11" t="s">
        <v>211</v>
      </c>
      <c r="C17" s="9" t="s">
        <v>212</v>
      </c>
      <c r="D17" s="31" t="n">
        <v>119000</v>
      </c>
      <c r="I17" s="11" t="s">
        <v>213</v>
      </c>
      <c r="J17" s="1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62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5" t="s">
        <v>215</v>
      </c>
    </row>
    <row r="3" customFormat="false" ht="15" hidden="false" customHeight="false" outlineLevel="0" collapsed="false">
      <c r="A3" s="7" t="s">
        <v>216</v>
      </c>
      <c r="B3" s="7" t="s">
        <v>217</v>
      </c>
      <c r="C3" s="7" t="s">
        <v>218</v>
      </c>
      <c r="D3" s="7" t="s">
        <v>219</v>
      </c>
      <c r="E3" s="7" t="s">
        <v>220</v>
      </c>
      <c r="F3" s="7" t="s">
        <v>221</v>
      </c>
    </row>
    <row r="4" customFormat="false" ht="103.5" hidden="false" customHeight="true" outlineLevel="0" collapsed="false">
      <c r="A4" s="8" t="n">
        <v>1</v>
      </c>
      <c r="B4" s="11" t="s">
        <v>222</v>
      </c>
      <c r="C4" s="11" t="s">
        <v>223</v>
      </c>
      <c r="D4" s="11" t="s">
        <v>224</v>
      </c>
      <c r="E4" s="11" t="s">
        <v>225</v>
      </c>
      <c r="F4" s="11" t="s">
        <v>226</v>
      </c>
    </row>
    <row r="5" customFormat="false" ht="103.5" hidden="false" customHeight="true" outlineLevel="0" collapsed="false">
      <c r="A5" s="8" t="n">
        <v>2</v>
      </c>
      <c r="B5" s="11" t="s">
        <v>227</v>
      </c>
      <c r="C5" s="11" t="s">
        <v>228</v>
      </c>
      <c r="D5" s="11" t="s">
        <v>229</v>
      </c>
      <c r="E5" s="11" t="s">
        <v>230</v>
      </c>
      <c r="F5" s="11" t="s">
        <v>231</v>
      </c>
    </row>
    <row r="6" customFormat="false" ht="103.5" hidden="false" customHeight="true" outlineLevel="0" collapsed="false">
      <c r="A6" s="8" t="n">
        <v>3</v>
      </c>
      <c r="B6" s="11" t="s">
        <v>227</v>
      </c>
      <c r="C6" s="11" t="s">
        <v>232</v>
      </c>
      <c r="D6" s="11" t="s">
        <v>233</v>
      </c>
      <c r="E6" s="11" t="s">
        <v>234</v>
      </c>
      <c r="F6" s="11" t="s">
        <v>235</v>
      </c>
    </row>
    <row r="7" customFormat="false" ht="103.5" hidden="false" customHeight="true" outlineLevel="0" collapsed="false">
      <c r="A7" s="8" t="n">
        <v>4</v>
      </c>
      <c r="B7" s="11" t="s">
        <v>236</v>
      </c>
      <c r="C7" s="11" t="s">
        <v>237</v>
      </c>
      <c r="D7" s="11" t="s">
        <v>238</v>
      </c>
      <c r="E7" s="11" t="s">
        <v>239</v>
      </c>
      <c r="F7" s="11" t="s">
        <v>240</v>
      </c>
    </row>
    <row r="8" customFormat="false" ht="103.5" hidden="false" customHeight="true" outlineLevel="0" collapsed="false">
      <c r="A8" s="8" t="n">
        <v>5</v>
      </c>
      <c r="B8" s="11" t="s">
        <v>241</v>
      </c>
      <c r="C8" s="11" t="s">
        <v>242</v>
      </c>
      <c r="D8" s="11" t="s">
        <v>243</v>
      </c>
      <c r="E8" s="11" t="s">
        <v>244</v>
      </c>
      <c r="F8" s="11" t="s">
        <v>245</v>
      </c>
    </row>
    <row r="9" customFormat="false" ht="103.5" hidden="false" customHeight="true" outlineLevel="0" collapsed="false">
      <c r="A9" s="8" t="n">
        <v>6</v>
      </c>
      <c r="B9" s="11" t="s">
        <v>236</v>
      </c>
      <c r="C9" s="11" t="s">
        <v>246</v>
      </c>
      <c r="D9" s="11" t="s">
        <v>247</v>
      </c>
      <c r="E9" s="11" t="s">
        <v>248</v>
      </c>
      <c r="F9" s="11" t="s">
        <v>249</v>
      </c>
    </row>
    <row r="10" customFormat="false" ht="103.5" hidden="false" customHeight="true" outlineLevel="0" collapsed="false">
      <c r="A10" s="8" t="n">
        <v>7</v>
      </c>
      <c r="B10" s="11" t="s">
        <v>250</v>
      </c>
      <c r="C10" s="11" t="s">
        <v>251</v>
      </c>
      <c r="D10" s="11" t="s">
        <v>252</v>
      </c>
      <c r="E10" s="11" t="s">
        <v>253</v>
      </c>
      <c r="F10" s="11" t="s">
        <v>254</v>
      </c>
    </row>
    <row r="11" customFormat="false" ht="103.5" hidden="false" customHeight="true" outlineLevel="0" collapsed="false">
      <c r="A11" s="8" t="n">
        <v>8</v>
      </c>
      <c r="B11" s="11" t="s">
        <v>250</v>
      </c>
      <c r="C11" s="11" t="s">
        <v>255</v>
      </c>
      <c r="D11" s="11" t="s">
        <v>256</v>
      </c>
      <c r="E11" s="11" t="s">
        <v>257</v>
      </c>
      <c r="F11" s="11" t="s">
        <v>258</v>
      </c>
    </row>
    <row r="12" customFormat="false" ht="103.5" hidden="false" customHeight="true" outlineLevel="0" collapsed="false">
      <c r="A12" s="8" t="n">
        <v>9</v>
      </c>
      <c r="B12" s="11" t="s">
        <v>250</v>
      </c>
      <c r="C12" s="11" t="s">
        <v>259</v>
      </c>
      <c r="D12" s="11" t="s">
        <v>260</v>
      </c>
      <c r="E12" s="11" t="s">
        <v>261</v>
      </c>
      <c r="F12" s="11" t="s">
        <v>262</v>
      </c>
    </row>
    <row r="13" customFormat="false" ht="103.5" hidden="false" customHeight="true" outlineLevel="0" collapsed="false">
      <c r="A13" s="8" t="n">
        <v>10</v>
      </c>
      <c r="B13" s="11" t="s">
        <v>263</v>
      </c>
      <c r="C13" s="11" t="s">
        <v>264</v>
      </c>
      <c r="D13" s="11" t="s">
        <v>265</v>
      </c>
      <c r="E13" s="11" t="s">
        <v>266</v>
      </c>
      <c r="F13" s="11" t="s">
        <v>267</v>
      </c>
    </row>
    <row r="14" customFormat="false" ht="103.5" hidden="false" customHeight="true" outlineLevel="0" collapsed="false">
      <c r="A14" s="8" t="n">
        <v>11</v>
      </c>
      <c r="B14" s="11" t="s">
        <v>268</v>
      </c>
      <c r="C14" s="11" t="s">
        <v>269</v>
      </c>
      <c r="D14" s="11" t="s">
        <v>270</v>
      </c>
      <c r="E14" s="11" t="s">
        <v>271</v>
      </c>
      <c r="F14" s="11" t="s">
        <v>272</v>
      </c>
    </row>
    <row r="15" customFormat="false" ht="103.5" hidden="false" customHeight="true" outlineLevel="0" collapsed="false">
      <c r="A15" s="8" t="n">
        <v>12</v>
      </c>
      <c r="B15" s="11" t="s">
        <v>273</v>
      </c>
      <c r="C15" s="11" t="s">
        <v>274</v>
      </c>
      <c r="D15" s="11" t="s">
        <v>275</v>
      </c>
      <c r="E15" s="11" t="s">
        <v>276</v>
      </c>
      <c r="F15" s="11" t="s">
        <v>277</v>
      </c>
    </row>
    <row r="16" customFormat="false" ht="103.5" hidden="false" customHeight="true" outlineLevel="0" collapsed="false">
      <c r="A16" s="8" t="n">
        <v>13</v>
      </c>
      <c r="B16" s="11" t="s">
        <v>273</v>
      </c>
      <c r="C16" s="11" t="s">
        <v>278</v>
      </c>
      <c r="D16" s="11" t="s">
        <v>279</v>
      </c>
      <c r="E16" s="11" t="s">
        <v>280</v>
      </c>
      <c r="F16" s="11" t="s">
        <v>281</v>
      </c>
    </row>
    <row r="17" customFormat="false" ht="103.5" hidden="false" customHeight="true" outlineLevel="0" collapsed="false">
      <c r="A17" s="8" t="n">
        <v>14</v>
      </c>
      <c r="B17" s="11" t="s">
        <v>273</v>
      </c>
      <c r="C17" s="11" t="s">
        <v>282</v>
      </c>
      <c r="D17" s="11" t="s">
        <v>283</v>
      </c>
      <c r="E17" s="11" t="s">
        <v>284</v>
      </c>
      <c r="F17" s="11" t="s">
        <v>285</v>
      </c>
    </row>
    <row r="18" customFormat="false" ht="103.5" hidden="false" customHeight="true" outlineLevel="0" collapsed="false">
      <c r="A18" s="8" t="n">
        <v>15</v>
      </c>
      <c r="B18" s="11" t="s">
        <v>286</v>
      </c>
      <c r="C18" s="11" t="s">
        <v>287</v>
      </c>
      <c r="D18" s="11" t="s">
        <v>288</v>
      </c>
      <c r="E18" s="11" t="s">
        <v>289</v>
      </c>
      <c r="F18" s="11" t="s">
        <v>272</v>
      </c>
    </row>
    <row r="19" customFormat="false" ht="103.5" hidden="false" customHeight="true" outlineLevel="0" collapsed="false">
      <c r="A19" s="8" t="n">
        <v>16</v>
      </c>
      <c r="B19" s="11" t="s">
        <v>290</v>
      </c>
      <c r="C19" s="11" t="s">
        <v>291</v>
      </c>
      <c r="D19" s="11" t="s">
        <v>292</v>
      </c>
      <c r="E19" s="11" t="s">
        <v>293</v>
      </c>
      <c r="F19" s="11" t="s">
        <v>272</v>
      </c>
    </row>
    <row r="20" customFormat="false" ht="103.5" hidden="false" customHeight="true" outlineLevel="0" collapsed="false">
      <c r="A20" s="8" t="n">
        <v>17</v>
      </c>
      <c r="B20" s="11" t="s">
        <v>294</v>
      </c>
      <c r="C20" s="11" t="s">
        <v>295</v>
      </c>
      <c r="D20" s="11" t="s">
        <v>296</v>
      </c>
      <c r="E20" s="11" t="s">
        <v>297</v>
      </c>
      <c r="F20" s="1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2026-10-14T22:31:37Z</dcterms:created>
  <dc:creator>openpyxl</dc:creator>
  <dc:description/>
  <dc:language>en-US</dc:language>
  <cp:lastModifiedBy/>
  <dcterms:modified xsi:type="dcterms:W3CDTF">2026-10-14T22:31:39Z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